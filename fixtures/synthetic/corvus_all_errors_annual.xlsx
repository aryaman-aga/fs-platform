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S" sheetId="1" r:id="rId1"/>
    <sheet name="PL" sheetId="2" r:id="rId2"/>
    <sheet name="SOCIE" sheetId="3" r:id="rId3"/>
    <sheet name="CFS" sheetId="4" r:id="rId4"/>
    <sheet name="Policies" sheetId="5" r:id="rId5"/>
    <sheet name="Note 3-5" sheetId="6" r:id="rId6"/>
    <sheet name="Note 6-11" sheetId="7" r:id="rId7"/>
    <sheet name="Note 12-13" sheetId="8" r:id="rId8"/>
    <sheet name="Note 14-19" sheetId="9" r:id="rId9"/>
    <sheet name="Note 20-27" sheetId="10" r:id="rId10"/>
    <sheet name="RPT" sheetId="11" r:id="rId11"/>
    <sheet name="Note 29-34" sheetId="12" r:id="rId12"/>
    <sheet name="NS_TB_FT27" sheetId="13" r:id="rId13"/>
    <sheet name="FAR" sheetId="14" r:id="rId14"/>
    <sheet name="Ageing" sheetId="15" r:id="rId15"/>
  </sheets>
  <definedNames>
    <definedName name="_xlnm.Print_Area" localSheetId="0">BS!$A$1:$D$67</definedName>
    <definedName name="_xlnm.Print_Area" localSheetId="3">CFS!$A$1:$C$67</definedName>
    <definedName name="_xlnm.Print_Area" localSheetId="7">'Note 12-13'!$A$1:$E$42</definedName>
    <definedName name="_xlnm.Print_Area" localSheetId="8">'Note 14-19'!$A$1:$G$121</definedName>
    <definedName name="_xlnm.Print_Area" localSheetId="9">'Note 20-27'!$A$1:$C$88</definedName>
    <definedName name="_xlnm.Print_Area" localSheetId="11">'Note 29-34'!$A$1:$G$77</definedName>
    <definedName name="_xlnm.Print_Area" localSheetId="5">'Note 3-5'!$A$1:$E$73</definedName>
    <definedName name="_xlnm.Print_Area" localSheetId="6">'Note 6-11'!$A$1:$H$65</definedName>
    <definedName name="_xlnm.Print_Area" localSheetId="1">PL!$A$1:$D$44</definedName>
    <definedName name="_xlnm.Print_Area" localSheetId="4">Policies!$A$1:$A$19</definedName>
    <definedName name="_xlnm.Print_Area" localSheetId="10">RPT!$A$1:$C$56</definedName>
    <definedName name="_xlnm.Print_Area" localSheetId="2">SOCIE!$A$1:$E$32</definedName>
  </definedNames>
  <calcPr calcId="124519" fullCalcOnLoad="1"/>
</workbook>
</file>

<file path=xl/sharedStrings.xml><?xml version="1.0" encoding="utf-8"?>
<sst xmlns="http://schemas.openxmlformats.org/spreadsheetml/2006/main" count="1574" uniqueCount="834">
  <si>
    <t>Corvus Data Services Private Limited</t>
  </si>
  <si>
    <t>Balance Sheet as at March 31, 2026</t>
  </si>
  <si>
    <t>(All amounts in ₹ lakhs, unless otherwise stated)</t>
  </si>
  <si>
    <t>Particulars</t>
  </si>
  <si>
    <t>Note</t>
  </si>
  <si>
    <t>As at
March 31, 2026</t>
  </si>
  <si>
    <t>As at
March 31, 2025</t>
  </si>
  <si>
    <t>ASSETS</t>
  </si>
  <si>
    <t>Non-current assets</t>
  </si>
  <si>
    <t>(a) Property, plant and equipment</t>
  </si>
  <si>
    <t>(b) Capital work-in-progress</t>
  </si>
  <si>
    <t>(c) Right-of-use assets</t>
  </si>
  <si>
    <t>(d) Other intangible assets</t>
  </si>
  <si>
    <t>(e) Financial assets</t>
  </si>
  <si>
    <t>(i) Investments</t>
  </si>
  <si>
    <t>(ii) Other financial assets</t>
  </si>
  <si>
    <t>(f) Deferred tax assets (net)</t>
  </si>
  <si>
    <t>(g) Other non-current assets</t>
  </si>
  <si>
    <t>Total non-current assets</t>
  </si>
  <si>
    <t>Current assets</t>
  </si>
  <si>
    <t>(a) Financial assets</t>
  </si>
  <si>
    <t>(i) Trade receivables</t>
  </si>
  <si>
    <t>(ii) Cash and cash equivalents</t>
  </si>
  <si>
    <t>(iii) Other financial assets</t>
  </si>
  <si>
    <t>(b) Other current assets</t>
  </si>
  <si>
    <t>Total current assets</t>
  </si>
  <si>
    <t>TOTAL ASSETS</t>
  </si>
  <si>
    <t>EQUITY AND LIABILITIES</t>
  </si>
  <si>
    <t>Equity</t>
  </si>
  <si>
    <t>(a) Equity share capital</t>
  </si>
  <si>
    <t>(b) Other equity</t>
  </si>
  <si>
    <t>Total equity</t>
  </si>
  <si>
    <t>Liabilities</t>
  </si>
  <si>
    <t>Non-current liabilities</t>
  </si>
  <si>
    <t>(a) Financial liabilities</t>
  </si>
  <si>
    <t>(i) Borrowings</t>
  </si>
  <si>
    <t>(ii) Lease liabilities</t>
  </si>
  <si>
    <t>(b) Provisions</t>
  </si>
  <si>
    <t>Total non-current liabilities</t>
  </si>
  <si>
    <t>Current liabilities</t>
  </si>
  <si>
    <t>(iii) Trade payables</t>
  </si>
  <si>
    <t>17</t>
  </si>
  <si>
    <t>(A) total outstanding dues of micro enterprises and small enterprises</t>
  </si>
  <si>
    <t>(B) total outstanding dues of creditors other than micro enterprises and small enterprises</t>
  </si>
  <si>
    <t>(iv) Other financial liabilities</t>
  </si>
  <si>
    <t>(b) Other current liabilities</t>
  </si>
  <si>
    <t>(c) Provisions</t>
  </si>
  <si>
    <t>(d) Current tax liabilities (net)</t>
  </si>
  <si>
    <t>Total current liabilities</t>
  </si>
  <si>
    <t>Total liabilities</t>
  </si>
  <si>
    <t>TOTAL EQUITY AND LIABILITIES</t>
  </si>
  <si>
    <t>The accompanying notes form an integral part of these financial statements.</t>
  </si>
  <si>
    <t>As per our report of even date</t>
  </si>
  <si>
    <t>For and on behalf of the Board of Directors of</t>
  </si>
  <si>
    <t>For Synthetic &amp; Co.</t>
  </si>
  <si>
    <t>Chartered Accountants</t>
  </si>
  <si>
    <t>CIN: U72900KA2015PTC081234</t>
  </si>
  <si>
    <t>Firm Registration No.: 123456W</t>
  </si>
  <si>
    <t>Rohit Mehra</t>
  </si>
  <si>
    <t>Asha Raman</t>
  </si>
  <si>
    <t>Vikram Sethi</t>
  </si>
  <si>
    <t>Partner</t>
  </si>
  <si>
    <t>Director</t>
  </si>
  <si>
    <t>Membership No.: 234567</t>
  </si>
  <si>
    <t>DIN: 01234567</t>
  </si>
  <si>
    <t>DIN: 07654321</t>
  </si>
  <si>
    <t>Place: Bengaluru</t>
  </si>
  <si>
    <t>Date: May 15, 2026</t>
  </si>
  <si>
    <t>Date:</t>
  </si>
  <si>
    <t>Statement of Profit and Loss for the year ended March 31, 2026</t>
  </si>
  <si>
    <t>Year ended
March 31, 2026</t>
  </si>
  <si>
    <t>Year ended
March 31, 2025</t>
  </si>
  <si>
    <t>I. Revenue from operations</t>
  </si>
  <si>
    <t>II. Other income</t>
  </si>
  <si>
    <t>III. Total income (I + II)</t>
  </si>
  <si>
    <t>IV. Expenses</t>
  </si>
  <si>
    <t>Employee benefits expense</t>
  </si>
  <si>
    <t>Finance costs</t>
  </si>
  <si>
    <t>Depreciation and amortisation expense</t>
  </si>
  <si>
    <t>Other expenses</t>
  </si>
  <si>
    <t>Total expenses (IV)</t>
  </si>
  <si>
    <t>V. Profit/(loss) before tax (III – IV)</t>
  </si>
  <si>
    <t>VI. Tax expense</t>
  </si>
  <si>
    <t>26</t>
  </si>
  <si>
    <t>(1) Current tax</t>
  </si>
  <si>
    <t>(2) Deferred tax</t>
  </si>
  <si>
    <t>Total tax expense (VI)</t>
  </si>
  <si>
    <t>VII. Profit/(loss) for the year (V – VI)</t>
  </si>
  <si>
    <t>VIII. Other comprehensive income</t>
  </si>
  <si>
    <t>(A) (i) Items that will not be reclassified to profit or loss</t>
  </si>
  <si>
    <t>– Remeasurement gains/(losses) on defined benefit plans</t>
  </si>
  <si>
    <t>(ii) Income tax relating to items that will not be reclassified to profit or loss</t>
  </si>
  <si>
    <t>Total other comprehensive income for the year, net of tax (VIII)</t>
  </si>
  <si>
    <t>IX. Total comprehensive income for the year (VII + VIII)</t>
  </si>
  <si>
    <t>X. Earnings/(loss) per equity share (face value of ₹10 each)</t>
  </si>
  <si>
    <t>27</t>
  </si>
  <si>
    <t>Basic (₹)</t>
  </si>
  <si>
    <t>Diluted (₹)</t>
  </si>
  <si>
    <t>Statement of Changes in Equity for the year ended March 31, 2026</t>
  </si>
  <si>
    <t>Equity share capital (refer note 12) and other equity (refer note 13)</t>
  </si>
  <si>
    <t>Equity share capital</t>
  </si>
  <si>
    <t>Securities premium</t>
  </si>
  <si>
    <t>Retained earnings</t>
  </si>
  <si>
    <t>Balance as at April 1, 2024</t>
  </si>
  <si>
    <t>Profit/(loss) for the year</t>
  </si>
  <si>
    <t>Other comprehensive income for the year, net of tax</t>
  </si>
  <si>
    <t>Total comprehensive income for the year</t>
  </si>
  <si>
    <t>Issue of equity shares</t>
  </si>
  <si>
    <t>Balance as at March 31, 2025</t>
  </si>
  <si>
    <t>Balance as at March 31, 2026</t>
  </si>
  <si>
    <t>Directer</t>
  </si>
  <si>
    <t>Date: March 15, 2026</t>
  </si>
  <si>
    <t>Cash Flow Statement for the year ended March 31, 2026</t>
  </si>
  <si>
    <t>A. Cash flow from operating activities</t>
  </si>
  <si>
    <t>Profit/(loss) before tax</t>
  </si>
  <si>
    <t>Adjustments for:</t>
  </si>
  <si>
    <t>Interest income</t>
  </si>
  <si>
    <t>Operating profit/(loss) before working capital changes</t>
  </si>
  <si>
    <t>Changes in working capital:</t>
  </si>
  <si>
    <t>(Increase)/decrease in trade receivables</t>
  </si>
  <si>
    <t>(Increase)/decrease in other financial assets</t>
  </si>
  <si>
    <t>(Increase)/decrease in other assets</t>
  </si>
  <si>
    <t>Increase/(decrease) in trade payables</t>
  </si>
  <si>
    <t>Increase/(decrease) in other financial liabilities</t>
  </si>
  <si>
    <t>(Decrease)/increase in other current liabilities</t>
  </si>
  <si>
    <t>Increase/(decrease) in provisions</t>
  </si>
  <si>
    <t>Remeasurement of defined benefit plans (recognised in other comprehensive income)</t>
  </si>
  <si>
    <t>Cash generated from/(used in) operations</t>
  </si>
  <si>
    <t>Income taxes paid (net of refunds)</t>
  </si>
  <si>
    <t>Net cash generated from/(used in) operating activities (A)</t>
  </si>
  <si>
    <t>B. Cash flow from investing activities</t>
  </si>
  <si>
    <t>Purchase of property, plant and equipment (including capital work-in-progress)</t>
  </si>
  <si>
    <t>Proceeds from sale of property, plant and equipment</t>
  </si>
  <si>
    <t>Proceeds from sale of intangible assets</t>
  </si>
  <si>
    <t>Investment in subsidiary</t>
  </si>
  <si>
    <t>Interest received</t>
  </si>
  <si>
    <t>Net cash generated from/(used in) investing activities (B)</t>
  </si>
  <si>
    <t>C. Cash flow from financing activities</t>
  </si>
  <si>
    <t>Proceeds from issue of equity shares (including securities premium)</t>
  </si>
  <si>
    <t>Proceeds from long-term borrowings</t>
  </si>
  <si>
    <t>Repayment of long-term borrowings</t>
  </si>
  <si>
    <t>Payment of principal portion of lease liabilities</t>
  </si>
  <si>
    <t>Payment of interest portion of lease liabilities</t>
  </si>
  <si>
    <t>Interest paid on borrowings</t>
  </si>
  <si>
    <t>Net cash generated from/(used in) financing activities (C)</t>
  </si>
  <si>
    <t>Net increase/(decrease) in cash and cash equivalents (A + B + C)</t>
  </si>
  <si>
    <t>Cash and cash equivalents at the beginning of the year</t>
  </si>
  <si>
    <t>Cash and cash equivalents at the end of the year</t>
  </si>
  <si>
    <t>Components of cash and cash equivalents</t>
  </si>
  <si>
    <t>Balances with banks – in current accounts</t>
  </si>
  <si>
    <t>Cash on hand</t>
  </si>
  <si>
    <t>Total cash and cash equivalents (refer note 11)</t>
  </si>
  <si>
    <t>Note: The cash flow statement has been prepared under the indirect method set out in Ind AS 7, Statement of Cash Flows.</t>
  </si>
  <si>
    <t>DIN: XXX</t>
  </si>
  <si>
    <t>Date: XXXXXX</t>
  </si>
  <si>
    <t>Notes to the financial statements for the year ended March 31, 2026</t>
  </si>
  <si>
    <t>1. Corporate information</t>
  </si>
  <si>
    <t>Corvus Data Services Private Limited ("the Company") is a private limited company incorporated in India under the Companies Act, 2013 (CIN: U72900KA2015PTC081234). Its registered office is at 4th Floor, Synthetic Tech Park, Outer Ring Road, Bengaluru 560103, Karnataka. The Company provides data engineering, analytics and software support services to customers in India and overseas, including group companies. The Company is a subsidiary of Corvus Holdings Private Limited.</t>
  </si>
  <si>
    <t>2. Basis of preparation and material accounting policy information</t>
  </si>
  <si>
    <t>2.1 Statement of compliance – These financial statements have been prepared in accordance with the Indian Accounting Standards (Ind AS) notified under section 133 of the Companies Act, 2013 read with the Companies (Indian Accounting Standards) Rules, 2015, as amended, and the presentation requirements of Division II of Schedule III to the Act.</t>
  </si>
  <si>
    <t>2.2 Basis of measurement – The financial statements have been prepared on the historical cost basis, except for the net defined benefit liability, which is measured at the present value of the defined benefit obligation.</t>
  </si>
  <si>
    <t>2.3 Functional and presentation currency – The functional currency of the Company is the Indian Rupee. All amounts are presented in ₹ lakhs with two decimals, unless otherwise stated; totals are computed on the presented figures.</t>
  </si>
  <si>
    <t>2.4 Use of estimates and judgements – Estimates and underlying assumptions are reviewed on an ongoing basis. Significant estimates relate to useful lives of property, plant and equipment, expected credit losses on receivables, the defined benefit obligation and recognition of deferred tax assets.</t>
  </si>
  <si>
    <t>2.5 Revenue recognition – Revenue from services is recognised over time as the services are rendered, at the transaction price allocated to the performance obligation, in accordance with Ind AS 115.</t>
  </si>
  <si>
    <t>2.6 Property, plant and equipment – Items are stated at cost less accumulated depreciation and impairment. Depreciation is provided on the straight-line method over the useful lives prescribed in Schedule II to the Act.</t>
  </si>
  <si>
    <t>2.7 Leases – The Company recognises a right-of-use asset and a lease liability at the commencement of a lease in accordance with Ind AS 116. Lease payments are discounted at the incremental borrowing rate.</t>
  </si>
  <si>
    <t>2.8 Employee benefits – Contributions to provident fund are expensed as incurred. The gratuity obligation is determined by an independent actuary using the projected unit credit method; remeasurements are recognised in other comprehensive income.</t>
  </si>
  <si>
    <t>2.9 Income taxes – Current tax is measured at the amount expected to be paid. Deferred tax is recognised on temporary differences to the extent it is probable that taxable profit will be available.</t>
  </si>
  <si>
    <t>2.10 Financial instruments – Financial assets and liabilities are measured at amortised cost using the effective interest method; expected credit losses are recognised on trade receivables using the simplified approach.</t>
  </si>
  <si>
    <t>2.11 Going concern – Refer note 29.</t>
  </si>
  <si>
    <t>3. Property, plant and equipment and capital work-in-progress</t>
  </si>
  <si>
    <t>Computers</t>
  </si>
  <si>
    <t>Furniture and fixtures</t>
  </si>
  <si>
    <t>Office equipment</t>
  </si>
  <si>
    <t>Total</t>
  </si>
  <si>
    <t>Gross carrying amount</t>
  </si>
  <si>
    <t>Additions</t>
  </si>
  <si>
    <t>Disposals</t>
  </si>
  <si>
    <t>Balance as at June 30, 2025</t>
  </si>
  <si>
    <t>Accumulated depreciation</t>
  </si>
  <si>
    <t>Charge for the year</t>
  </si>
  <si>
    <t>Net carrying amount</t>
  </si>
  <si>
    <t>As at March 31, 2025</t>
  </si>
  <si>
    <t>As at March 31, 2026</t>
  </si>
  <si>
    <t>Capitalised during the year</t>
  </si>
  <si>
    <t>4. Right-of-use assets</t>
  </si>
  <si>
    <t>Buildings</t>
  </si>
  <si>
    <t>Accumulated depreciation / amortisation</t>
  </si>
  <si>
    <t>5. Other intangible assets</t>
  </si>
  <si>
    <t>Computer software</t>
  </si>
  <si>
    <t>6. Investments (non-current)</t>
  </si>
  <si>
    <t>Unquoted equity instruments of subsidiary – at cost</t>
  </si>
  <si>
    <t>Equity shares of Corvus Data Services FZ-LLC</t>
  </si>
  <si>
    <t>Total non-current investments</t>
  </si>
  <si>
    <t>Aggregate amount of unquoted investments</t>
  </si>
  <si>
    <t>7. Other financial assets</t>
  </si>
  <si>
    <t>(b) Non-current</t>
  </si>
  <si>
    <t>Security deposits</t>
  </si>
  <si>
    <t>(b) Current</t>
  </si>
  <si>
    <t>Interest accrued on deposits</t>
  </si>
  <si>
    <t>Unbilled revenue</t>
  </si>
  <si>
    <t>Recoverable from group companies (refer note 28)</t>
  </si>
  <si>
    <t>8. Deferred tax assets (net)</t>
  </si>
  <si>
    <t>Balance at the beginning of the year</t>
  </si>
  <si>
    <t>Credit/(charge) recognised in the statement of profit and loss</t>
  </si>
  <si>
    <t>Credit/(charge) recognised in other comprehensive income</t>
  </si>
  <si>
    <t>Balance at the end of the year</t>
  </si>
  <si>
    <t>9. Other assets</t>
  </si>
  <si>
    <t>(a) Non-current</t>
  </si>
  <si>
    <t>Capital advances</t>
  </si>
  <si>
    <t>Prepaid expenses</t>
  </si>
  <si>
    <t>Balances with government authorities</t>
  </si>
  <si>
    <t>Advances to suppliers</t>
  </si>
  <si>
    <t>10. Trade receivables</t>
  </si>
  <si>
    <t>Unsecured, considered good</t>
  </si>
  <si>
    <t>Credit impaired</t>
  </si>
  <si>
    <t>Less: Allowance for expected credit loss</t>
  </si>
  <si>
    <t>Total trade receivables</t>
  </si>
  <si>
    <t>Of the above, receivables from related parties (refer note 28)</t>
  </si>
  <si>
    <t>The Company has recognised a loss allowance for expected credit losses of ₹ 33.46 lakhs (as at March 31, 2025: ₹ 23.51 lakhs) on trade receivables, using a provision matrix based on historical credit loss experience.</t>
  </si>
  <si>
    <t>(a) Trade receivables ageing schedule (outstanding from the due date of payment)</t>
  </si>
  <si>
    <t>Not due</t>
  </si>
  <si>
    <t>Less than 6 months</t>
  </si>
  <si>
    <t>6 months - 1 year</t>
  </si>
  <si>
    <t>1-2 years</t>
  </si>
  <si>
    <t>2-3 years</t>
  </si>
  <si>
    <t>More than 3 years</t>
  </si>
  <si>
    <t>Undisputed trade receivables – considered good</t>
  </si>
  <si>
    <t>Undisputed trade receivables – credit impaired</t>
  </si>
  <si>
    <t>11. Cash and cash equivalents</t>
  </si>
  <si>
    <t>Total cash and cash equivalents</t>
  </si>
  <si>
    <t>12. Equity share capital</t>
  </si>
  <si>
    <t>Authorised</t>
  </si>
  <si>
    <t>20,000,000 (as at March 31, 2025: 20,000,000) equity shares of ₹10 each</t>
  </si>
  <si>
    <t>Issued, subscribed and fully paid-up</t>
  </si>
  <si>
    <t>10,500,000 (as at March 31, 2025: 10,000,000) equity shares of ₹10 each</t>
  </si>
  <si>
    <t>Total equity share capital</t>
  </si>
  <si>
    <t>(a) Reconciliation of the number of shares and amount outstanding</t>
  </si>
  <si>
    <t>Number of shares
March 31, 2026</t>
  </si>
  <si>
    <t>Amount
March 31, 2026</t>
  </si>
  <si>
    <t>Number of shares
March 31, 2025</t>
  </si>
  <si>
    <t>Amount
March 31, 2025</t>
  </si>
  <si>
    <t>At the beginning of the year</t>
  </si>
  <si>
    <t>Issued during the year</t>
  </si>
  <si>
    <t>At the end of the year</t>
  </si>
  <si>
    <t>(b) Rights, preferences and restrictions attached to equity shares</t>
  </si>
  <si>
    <t>The Company has one class of equity shares having a par value of ₹10 per share. Each holder of equity shares is entitled to one vote per share and to dividends in proportion to the shares held.</t>
  </si>
  <si>
    <t>(c) Shares held by the holding company and shareholders holding more than 5% of the shares</t>
  </si>
  <si>
    <t>Name of the shareholder</t>
  </si>
  <si>
    <t>% holding</t>
  </si>
  <si>
    <t>Corvus Holdings Private Limited</t>
  </si>
  <si>
    <t>(d) Shares held by promoters at the end of the year</t>
  </si>
  <si>
    <t>Promoter name</t>
  </si>
  <si>
    <t>Number of shares</t>
  </si>
  <si>
    <t>% of total shares</t>
  </si>
  <si>
    <t>% change during the year</t>
  </si>
  <si>
    <t>13. Other equity</t>
  </si>
  <si>
    <t>Add: Premium on shares issued during the year</t>
  </si>
  <si>
    <t>Other comprehensive income for the year (net of tax)</t>
  </si>
  <si>
    <t>Total other equity</t>
  </si>
  <si>
    <t>14. Borrowings</t>
  </si>
  <si>
    <t>As at
December 31, 2025</t>
  </si>
  <si>
    <t>(a) Non-current borrowings</t>
  </si>
  <si>
    <t>Secured – term loan from bank</t>
  </si>
  <si>
    <t>Unsecured – loan from holding company (refer note 28)</t>
  </si>
  <si>
    <t>Total non-current borrowings</t>
  </si>
  <si>
    <t>(b) Current borrowings</t>
  </si>
  <si>
    <t>Current maturities of long-term borrowings</t>
  </si>
  <si>
    <t>Total current borrowings</t>
  </si>
  <si>
    <t>(c) Terms of repayment and security</t>
  </si>
  <si>
    <t>The term loan from bank carries interest at 9.50% p.a., is repayable in quarterly instalments and is secured by hypothecation of the Company's current assets and movable property, plant and equipment.</t>
  </si>
  <si>
    <t>The loan from the holding company is unsecured and carries interest at 8.00% p.a.; interest is credited to the loan account net of tax deducted at source.</t>
  </si>
  <si>
    <t>(d) Changes in liabilities arising from financing activities (Ind AS 7)</t>
  </si>
  <si>
    <t>Term loan from bank</t>
  </si>
  <si>
    <t>Loan from holding company</t>
  </si>
  <si>
    <t>Lease liabilities</t>
  </si>
  <si>
    <t>Year ended March 31, 2025</t>
  </si>
  <si>
    <t>Cash flows – proceeds</t>
  </si>
  <si>
    <t>Cash flows – repayments / lease payments</t>
  </si>
  <si>
    <t>Non-cash – interest credited (net of TDS) / interest accrued</t>
  </si>
  <si>
    <t>Non-cash – new leases</t>
  </si>
  <si>
    <t>Year ended March 31, 2026</t>
  </si>
  <si>
    <t>15. Lease liabilities</t>
  </si>
  <si>
    <t>(a) Movement in lease liabilities</t>
  </si>
  <si>
    <t>Finance cost accrued during the year</t>
  </si>
  <si>
    <t>Payment of lease liabilities</t>
  </si>
  <si>
    <t>(b) Current and non-current classification</t>
  </si>
  <si>
    <t>Current lease liabilities</t>
  </si>
  <si>
    <t>Non-current lease liabilities</t>
  </si>
  <si>
    <t>Total lease liabilities</t>
  </si>
  <si>
    <t>(c) Maturity analysis – contractual undiscounted cash flows</t>
  </si>
  <si>
    <t>Not later than one year</t>
  </si>
  <si>
    <t>Lease – earlier office premises (vacated)</t>
  </si>
  <si>
    <t>Later than one year and not later than five years</t>
  </si>
  <si>
    <t>Later than five years</t>
  </si>
  <si>
    <t>Total undiscounted lease liabilities</t>
  </si>
  <si>
    <t>16. Provisions</t>
  </si>
  <si>
    <t>Provision for employee benefits – gratuity</t>
  </si>
  <si>
    <t>Provision for compensated absences</t>
  </si>
  <si>
    <t>(c) Defined benefit plan – gratuity (unfunded)</t>
  </si>
  <si>
    <t>Changes in the present value of the defined benefit obligation</t>
  </si>
  <si>
    <t>Obligation at the beginning of the year</t>
  </si>
  <si>
    <t>Current service cost</t>
  </si>
  <si>
    <t>Interest cost</t>
  </si>
  <si>
    <t>Remeasurement losses/(gains)</t>
  </si>
  <si>
    <t>Benefits paid</t>
  </si>
  <si>
    <t>Obligation at the end of the year</t>
  </si>
  <si>
    <t>Current portion (refer (b) above)</t>
  </si>
  <si>
    <t>Non-current portion (refer (a) above)</t>
  </si>
  <si>
    <t>Total defined benefit obligation</t>
  </si>
  <si>
    <t>Expense recognised in the statement of profit and loss</t>
  </si>
  <si>
    <t>Total expense (refer note 22)</t>
  </si>
  <si>
    <t>Remeasurement losses/(gains) recognised in other comprehensive income</t>
  </si>
  <si>
    <t>Principal actuarial assumptions: discount rate 7.20% p.a. (previous year 7.35% p.a.); salary escalation 8.00% p.a. (previous year 8.00% p.a.); attrition 18% p.a.</t>
  </si>
  <si>
    <t>17. Trade payables</t>
  </si>
  <si>
    <t>Total outstanding dues of micro enterprises and small enterprises</t>
  </si>
  <si>
    <t>Total outstanding dues of creditors other than micro enterprises and small enterprises</t>
  </si>
  <si>
    <t>Total trade payables</t>
  </si>
  <si>
    <t>Of the above, payable to related parties (refer note 28)</t>
  </si>
  <si>
    <t>(a) Trade payables ageing schedule (outstanding from the due date of payment)</t>
  </si>
  <si>
    <t>Less than 1 year</t>
  </si>
  <si>
    <t>MSME</t>
  </si>
  <si>
    <t>Others</t>
  </si>
  <si>
    <t>Disputed dues – MSME</t>
  </si>
  <si>
    <t>Disputed dues – Others</t>
  </si>
  <si>
    <t>(b) Dues to micro and small enterprises (MSMED Act, 2006)</t>
  </si>
  <si>
    <t>(i) Principal amount remaining unpaid to suppliers at the end of the year</t>
  </si>
  <si>
    <t>(ii) Interest due thereon remaining unpaid</t>
  </si>
  <si>
    <t>(iii) Interest paid under section 16 along with amounts paid beyond the appointed day</t>
  </si>
  <si>
    <t>(iv) Interest due and payable for the period of delay</t>
  </si>
  <si>
    <t>(v) Interest accrued and remaining unpaid</t>
  </si>
  <si>
    <t>(vi) Further interest remaining due and payable in succeeding years</t>
  </si>
  <si>
    <t>The information regarding micro and small enterprises has been determined on the basis of information available with the Company. There are no amounts overdue to micro and small enterprises and no interest is payable under the MSMED Act, 2006.</t>
  </si>
  <si>
    <t>18. Other financial liabilities</t>
  </si>
  <si>
    <t>Employee benefits payable</t>
  </si>
  <si>
    <t>Interest accrued on borrowings</t>
  </si>
  <si>
    <t>Capital creditors</t>
  </si>
  <si>
    <t>Total other financial liabilities</t>
  </si>
  <si>
    <t>Other payables (old)</t>
  </si>
  <si>
    <t>19. Other current liabilities</t>
  </si>
  <si>
    <t>Statutory dues payable</t>
  </si>
  <si>
    <t>Advance from customers (contract liabilities)</t>
  </si>
  <si>
    <t>Total other current liabilities</t>
  </si>
  <si>
    <t>20. Revenue from operations</t>
  </si>
  <si>
    <t>Sale of services</t>
  </si>
  <si>
    <t>Support services to group companies (refer note 28)</t>
  </si>
  <si>
    <t>Total revenue from operations</t>
  </si>
  <si>
    <t>(a) Disaggregation of revenue from contracts with customers – by geography</t>
  </si>
  <si>
    <t>India</t>
  </si>
  <si>
    <t>Outside India</t>
  </si>
  <si>
    <t>Total revenue from contracts with customers</t>
  </si>
  <si>
    <t>(b) Contract balances</t>
  </si>
  <si>
    <t>Trade receivables (refer note 10)</t>
  </si>
  <si>
    <t>Unbilled revenue (refer note 7)</t>
  </si>
  <si>
    <t>Contract liabilities – advance from customers (refer note 19)</t>
  </si>
  <si>
    <t>21. Other income</t>
  </si>
  <si>
    <t>Interest income on bank deposits</t>
  </si>
  <si>
    <t>Miscellaneous income</t>
  </si>
  <si>
    <t>Total other income</t>
  </si>
  <si>
    <t>22. Employee benefits expense</t>
  </si>
  <si>
    <t>Salaries, wages and bonus</t>
  </si>
  <si>
    <t>Contribution to provident and other funds</t>
  </si>
  <si>
    <t>Gratuity (refer note 16)</t>
  </si>
  <si>
    <t>Staff welfare expenses</t>
  </si>
  <si>
    <t>Total employee benefits expense</t>
  </si>
  <si>
    <t>23. Finance costs</t>
  </si>
  <si>
    <t>Interest on term loan</t>
  </si>
  <si>
    <t>Interest on loan from holding company (refer note 28)</t>
  </si>
  <si>
    <t>Interest on lease liabilities</t>
  </si>
  <si>
    <t>Total finance costs</t>
  </si>
  <si>
    <t>24. Depreciation and amortisation expense</t>
  </si>
  <si>
    <t>Depreciation on property, plant and equipment (refer note 3)</t>
  </si>
  <si>
    <t>Depreciation on right-of-use assets (refer note 4)</t>
  </si>
  <si>
    <t>Amortisation of intangible assets (refer note 5)</t>
  </si>
  <si>
    <t>Total depreciation and amortisation expense</t>
  </si>
  <si>
    <t>25. Other expenses</t>
  </si>
  <si>
    <t>Legal and professional fees</t>
  </si>
  <si>
    <t>Travelling and conveyance</t>
  </si>
  <si>
    <t>Communication expenses</t>
  </si>
  <si>
    <t>Software subscription charges</t>
  </si>
  <si>
    <t>Provision for expected credit loss</t>
  </si>
  <si>
    <t>Payment to auditors (refer (a) below)</t>
  </si>
  <si>
    <t>Support services from group companies (refer note 28)</t>
  </si>
  <si>
    <t>Miscellaneous expenses</t>
  </si>
  <si>
    <t>Total other expenses</t>
  </si>
  <si>
    <t>(a) Payment to auditors</t>
  </si>
  <si>
    <t>As auditor – statutory audit</t>
  </si>
  <si>
    <t>For other services</t>
  </si>
  <si>
    <t>26. Income tax</t>
  </si>
  <si>
    <t>(a) Income tax expense recognised in profit or loss</t>
  </si>
  <si>
    <t>Current tax</t>
  </si>
  <si>
    <t>Deferred tax</t>
  </si>
  <si>
    <t>Total income tax expense</t>
  </si>
  <si>
    <t>(b) Reconciliation of tax expense and the accounting profit multiplied by the tax rate</t>
  </si>
  <si>
    <t>Enacted income tax rate in India</t>
  </si>
  <si>
    <t>Computed expected tax expense/(credit) (March 31, 2024: at 25.17%)</t>
  </si>
  <si>
    <t>Effect of unrecognised deferred tax assets, non-deductible expenses and other items (net)</t>
  </si>
  <si>
    <t>Income tax expense reported in the statement of profit and loss</t>
  </si>
  <si>
    <t>(c) Current tax liabilities (net)</t>
  </si>
  <si>
    <t>Current tax payable for the year</t>
  </si>
  <si>
    <t>Taxes paid (net of refunds)</t>
  </si>
  <si>
    <t>Current tax liabilities (net) as per balance sheet</t>
  </si>
  <si>
    <t>As the Company is in loss for the year, deferred tax assets on carried forward losses have been recognised only to the extent of deferred tax liabilities.</t>
  </si>
  <si>
    <t>27. Earnings per share</t>
  </si>
  <si>
    <t>Profit/(loss) attributable to equity shareholders</t>
  </si>
  <si>
    <t>Weighted average number of equity shares (basic and diluted)</t>
  </si>
  <si>
    <t>Basic and diluted earnings/(loss) per share (₹)</t>
  </si>
  <si>
    <t>Face value per equity share (₹)</t>
  </si>
  <si>
    <t>28. Related party disclosures</t>
  </si>
  <si>
    <t>(a) Names of related parties and nature of relationship</t>
  </si>
  <si>
    <t>Nature of relationship</t>
  </si>
  <si>
    <t>Holding company and ultimate holding company</t>
  </si>
  <si>
    <t>Fellow subsidiary</t>
  </si>
  <si>
    <t>Corvus Technologies Inc.</t>
  </si>
  <si>
    <t>Corvus Analytics Limited</t>
  </si>
  <si>
    <t>Corvus Systems Pte. Ltd.</t>
  </si>
  <si>
    <t>Setp-down subsidiary of Corvus Holdings Private Limited</t>
  </si>
  <si>
    <t>Corvus Data Services FZ-LLC</t>
  </si>
  <si>
    <t>Key managerial personnel</t>
  </si>
  <si>
    <t>Asha Raman – Director</t>
  </si>
  <si>
    <t>Vikram Sethi – Director</t>
  </si>
  <si>
    <t>Neha Kapoor – Chief Financial Officer</t>
  </si>
  <si>
    <t>(b) Transactions with related parties during the year</t>
  </si>
  <si>
    <t>Nature of transaction / related party</t>
  </si>
  <si>
    <t>Revenue from operations – support services</t>
  </si>
  <si>
    <t>Support services received</t>
  </si>
  <si>
    <t>Interest on loan</t>
  </si>
  <si>
    <t>Loan received</t>
  </si>
  <si>
    <t>Loan repaid</t>
  </si>
  <si>
    <t>Expenses incurred on behalf of the related party (recoverable)</t>
  </si>
  <si>
    <t>Issue of equity shares (including securities premium)</t>
  </si>
  <si>
    <t>Investment in equity shares of subsidiary</t>
  </si>
  <si>
    <t>Remuneration to key managerial personnel</t>
  </si>
  <si>
    <t>Short-term employee benefits – Asha Raman, Vikram Sethi and Neha Kapoor</t>
  </si>
  <si>
    <t>(c) Balance as at June 30, 2026</t>
  </si>
  <si>
    <t>Nature of balance / related party</t>
  </si>
  <si>
    <t>Trade payables</t>
  </si>
  <si>
    <t>Corvus Holdings Pvt. Ltd.</t>
  </si>
  <si>
    <t>Trade receivables</t>
  </si>
  <si>
    <t>Loan payable (including interest credited)</t>
  </si>
  <si>
    <t>Recoverable from group companies</t>
  </si>
  <si>
    <t>Equity share capital held</t>
  </si>
  <si>
    <t>(d) Terms and conditions</t>
  </si>
  <si>
    <t>Transactions with related parties are made on terms equivalent to those that prevail in arm's length transactions. Outstanding balances at the year end are unsecured, interest free (other than the loan from the holding company) and settled in cash.</t>
  </si>
  <si>
    <t>29. Going concern</t>
  </si>
  <si>
    <t>The Company has earned a profit of ₹ 537.09 lakhs during the year ended March 31, 2026 (previous year: profit of ₹ 186.86 lakhs). As at March 31, 2026, the Company has accumulated losses of ₹ 1,249.53 lakhs and its net worth is ₹ 1,750.27 lakhs (as at March 31, 2025: ₹ 1,250.31 lakhs).</t>
  </si>
  <si>
    <t>As at June 30, 2026, the current assets of the Company exceed its current liabilities by ₹ 1,615.6 lakhs (as at March 31, 2025: ₹ 697.00 lakhs). As at March 31, 2026, the cash and cash equivalents of the Company amount to ₹ 1,371.98 lakhs (as at March 31, 2025: ₹ 600.91 lakhs).</t>
  </si>
  <si>
    <t>Management has assessed the Group's ability to continue as a going concern, considering the following mitigating factors:</t>
  </si>
  <si>
    <t>(a) the holding company, Corvus Holdings Private Limited, infused equity of ₹ 500.00 lakhs during the year ended March 31, 2026;</t>
  </si>
  <si>
    <t>(b) the holding company has confirmed in writing its continued financial support for a period of at least twelve months from the date of approval of these financial statements; (assessment updated on 31st June, 2026)</t>
  </si>
  <si>
    <t>(c) the Company has an approved business plan supported by a growing order book from group companies and third-party customers; and</t>
  </si>
  <si>
    <t>(d) the Company has no overdue borrowings and has met all repayment obligations on time.</t>
  </si>
  <si>
    <t>Accordingly, these financial statements have been prepared on a going concern basis and do not include any adjustments that might result if the Company were unable to continue as a going concern.</t>
  </si>
  <si>
    <t>30. Additional regulatory information – ratios</t>
  </si>
  <si>
    <t>Ratio</t>
  </si>
  <si>
    <t>Numerator</t>
  </si>
  <si>
    <t>Denominator</t>
  </si>
  <si>
    <t>Current year</t>
  </si>
  <si>
    <t>Previous year</t>
  </si>
  <si>
    <t>% variance</t>
  </si>
  <si>
    <t>Reason for variance (where &gt; 25%)</t>
  </si>
  <si>
    <t>Current ratio (times)</t>
  </si>
  <si>
    <t>The increase is mainly on account of the movement in current assets during the year.</t>
  </si>
  <si>
    <t>Debt-equity ratio (times)</t>
  </si>
  <si>
    <t>Total debt (borrowings and lease liabilities)</t>
  </si>
  <si>
    <t>The decrease is mainly on account of the movement in total debt (borrowings and lease liabilities) during the year.</t>
  </si>
  <si>
    <t>Debt service coverage ratio (times)</t>
  </si>
  <si>
    <t>Earnings available for debt service (profit after tax + depreciation + finance costs)</t>
  </si>
  <si>
    <t>Debt service (interest, lease payments and principal repayments)</t>
  </si>
  <si>
    <t>The increase is mainly on account of the movement in earnings available for debt service (profit after tax + depreciation + finance costs) during the year.</t>
  </si>
  <si>
    <t>Return on equity (%)</t>
  </si>
  <si>
    <t>Profit after tax</t>
  </si>
  <si>
    <t>Average total equity</t>
  </si>
  <si>
    <t>The increase is mainly on account of the movement in profit after tax during the year.</t>
  </si>
  <si>
    <t>Trade receivables turnover ratio (times)</t>
  </si>
  <si>
    <t>Revenue from operations</t>
  </si>
  <si>
    <t>Average trade receivables</t>
  </si>
  <si>
    <t>The increase is mainly on account of the movement in revenue from operations during the year.</t>
  </si>
  <si>
    <t>Trade payables turnover ratio (times)</t>
  </si>
  <si>
    <t>Average trade payables</t>
  </si>
  <si>
    <t>-</t>
  </si>
  <si>
    <t>Net capital turnover ratio (times)</t>
  </si>
  <si>
    <t>Average working capital</t>
  </si>
  <si>
    <t>Net profit ratio (%)</t>
  </si>
  <si>
    <t>Return on capital employed (%)</t>
  </si>
  <si>
    <t>Earnings before interest and tax</t>
  </si>
  <si>
    <t>Capital employed (total equity + total debt)</t>
  </si>
  <si>
    <t>The increase is mainly on account of the movement in earnings before interest and tax during the year.</t>
  </si>
  <si>
    <t>Inventory turnover ratio and return on investment are not applicable as the Company is a service company and holds no treasury investments.</t>
  </si>
  <si>
    <t>31. Contingent liabilities and commitments</t>
  </si>
  <si>
    <t>(a) Contingent liabilities (claims against the Company not acknowledged as debts)</t>
  </si>
  <si>
    <t>Income-tax demands under appeal</t>
  </si>
  <si>
    <t>Indirect tax matters under dispute</t>
  </si>
  <si>
    <t>(b) Commitments</t>
  </si>
  <si>
    <t>Estimated amount of contracts remaining to be executed on capital account (net of advances)</t>
  </si>
  <si>
    <t>32. Financial instruments</t>
  </si>
  <si>
    <t>(a) Categories of financial instruments – measured at amortised cost</t>
  </si>
  <si>
    <t>Financial assets</t>
  </si>
  <si>
    <t>Cash and cash equivalents</t>
  </si>
  <si>
    <t>Other financial assets (non-current and current)</t>
  </si>
  <si>
    <t>Total financial assets</t>
  </si>
  <si>
    <t>Financial liabilities</t>
  </si>
  <si>
    <t>Borrowings (non-current and current)</t>
  </si>
  <si>
    <t>Other financial liabilities</t>
  </si>
  <si>
    <t>Total financial liabilities</t>
  </si>
  <si>
    <t>The investment in the subsidiary is carried at cost in accordance with Ind AS 27 and is therefore outside the scope of the categories above (Ind AS 107 and Ind AS 109).</t>
  </si>
  <si>
    <t>The carrying amounts of trade receivables, cash and cash equivalents, other financial assets, borrowings, trade payables and other financial liabilities approximate their fair values.</t>
  </si>
  <si>
    <t>33. Capital management</t>
  </si>
  <si>
    <t>Total borrowings (including lease liabilities)</t>
  </si>
  <si>
    <t>Less: Cash and cash equivalents</t>
  </si>
  <si>
    <t>Net debt</t>
  </si>
  <si>
    <t>Net debt to equity ratio (times)</t>
  </si>
  <si>
    <t>34. Events after the reporting period</t>
  </si>
  <si>
    <t>There are no significant events after the reporting period that require adjustment to, or disclosure in, these financial statements.</t>
  </si>
  <si>
    <t>These financial statements were approved for issue by the Board of Directors on May 15, 2026.</t>
  </si>
  <si>
    <t>Trial balance – saved search FT27 (amounts in INR)</t>
  </si>
  <si>
    <t>Account No</t>
  </si>
  <si>
    <t>Account Name</t>
  </si>
  <si>
    <t>Level 1</t>
  </si>
  <si>
    <t>Level 2</t>
  </si>
  <si>
    <t>Level 3</t>
  </si>
  <si>
    <t>Level 4</t>
  </si>
  <si>
    <t>Level 5</t>
  </si>
  <si>
    <t>FS Grouping</t>
  </si>
  <si>
    <t>Mar-26</t>
  </si>
  <si>
    <t>Mar-25</t>
  </si>
  <si>
    <t>11010</t>
  </si>
  <si>
    <t>Computers - Gross</t>
  </si>
  <si>
    <t>Assets</t>
  </si>
  <si>
    <t>Non Current Assets</t>
  </si>
  <si>
    <t>Property Plant and Equipment</t>
  </si>
  <si>
    <t>ppe.gross.computers</t>
  </si>
  <si>
    <t>11020</t>
  </si>
  <si>
    <t>Furniture and Fixtures - Gross</t>
  </si>
  <si>
    <t>Furniture</t>
  </si>
  <si>
    <t>ppe.gross.furniture</t>
  </si>
  <si>
    <t>11030</t>
  </si>
  <si>
    <t>Office Equipment - Gross</t>
  </si>
  <si>
    <t>Office Equipment</t>
  </si>
  <si>
    <t>ppe.gross.office_equipment</t>
  </si>
  <si>
    <t>11110</t>
  </si>
  <si>
    <t>Accumulated Depreciation - Computers</t>
  </si>
  <si>
    <t>ppe.accdep.computers</t>
  </si>
  <si>
    <t>11120</t>
  </si>
  <si>
    <t>Accumulated Depreciation - Furniture</t>
  </si>
  <si>
    <t>ppe.accdep.furniture</t>
  </si>
  <si>
    <t>11130</t>
  </si>
  <si>
    <t>Accumulated Depreciation - Office Equipment</t>
  </si>
  <si>
    <t>ppe.accdep.office_equipment</t>
  </si>
  <si>
    <t>11500</t>
  </si>
  <si>
    <t>Capital Work in Progress</t>
  </si>
  <si>
    <t>cwip</t>
  </si>
  <si>
    <t>11600</t>
  </si>
  <si>
    <t>Right of Use Asset - Office Premises</t>
  </si>
  <si>
    <t>Right of Use Assets</t>
  </si>
  <si>
    <t>rou.gross.buildings</t>
  </si>
  <si>
    <t>11610</t>
  </si>
  <si>
    <t>Accumulated Depreciation - ROU Asset</t>
  </si>
  <si>
    <t>rou.accdep.buildings</t>
  </si>
  <si>
    <t>11700</t>
  </si>
  <si>
    <t>Software Licences - Gross</t>
  </si>
  <si>
    <t>Intangible Assets</t>
  </si>
  <si>
    <t>intangibles.gross.software</t>
  </si>
  <si>
    <t>11710</t>
  </si>
  <si>
    <t>Accumulated Amortisation - Software</t>
  </si>
  <si>
    <t>intangibles.accamort.software</t>
  </si>
  <si>
    <t>12000</t>
  </si>
  <si>
    <t>Investment in Subsidiary - Equity Shares</t>
  </si>
  <si>
    <t>Investments</t>
  </si>
  <si>
    <t>inv.nc.subsidiary</t>
  </si>
  <si>
    <t>12100</t>
  </si>
  <si>
    <t>Security Deposits - Premises</t>
  </si>
  <si>
    <t>Other Financial Assets</t>
  </si>
  <si>
    <t>ofa.nc.security_deposits</t>
  </si>
  <si>
    <t>12200</t>
  </si>
  <si>
    <t>Deferred Tax Asset</t>
  </si>
  <si>
    <t>Deferred Tax</t>
  </si>
  <si>
    <t>dta</t>
  </si>
  <si>
    <t>12300</t>
  </si>
  <si>
    <t>Capital Advances</t>
  </si>
  <si>
    <t>Other Non Current Assets</t>
  </si>
  <si>
    <t>onca.capital_advances</t>
  </si>
  <si>
    <t>13000</t>
  </si>
  <si>
    <t>Trade Receivables - Domestic</t>
  </si>
  <si>
    <t>Current Assets</t>
  </si>
  <si>
    <t>Trade Receivables</t>
  </si>
  <si>
    <t>tr.good.third_party</t>
  </si>
  <si>
    <t>13010</t>
  </si>
  <si>
    <t>Trade Receivables - Export</t>
  </si>
  <si>
    <t>13020</t>
  </si>
  <si>
    <t>Intercompany Receivable - Corvus Technologies Inc.</t>
  </si>
  <si>
    <t>Intercompany Receivables</t>
  </si>
  <si>
    <t>tr.good.related</t>
  </si>
  <si>
    <t>13030</t>
  </si>
  <si>
    <t>Trade Receivables - Credit Impaired</t>
  </si>
  <si>
    <t>tr.impaired</t>
  </si>
  <si>
    <t>13090</t>
  </si>
  <si>
    <t>Allowance for Expected Credit Loss</t>
  </si>
  <si>
    <t>tr.allowance</t>
  </si>
  <si>
    <t>14000</t>
  </si>
  <si>
    <t>Bank - Current Account (Operations)</t>
  </si>
  <si>
    <t>Cash and Bank</t>
  </si>
  <si>
    <t>cash.bank_current</t>
  </si>
  <si>
    <t>14010</t>
  </si>
  <si>
    <t>Bank - Current Account (Collections)</t>
  </si>
  <si>
    <t>14100</t>
  </si>
  <si>
    <t>Petty Cash</t>
  </si>
  <si>
    <t>cash.on_hand</t>
  </si>
  <si>
    <t>15000</t>
  </si>
  <si>
    <t>Interest Accrued on Deposits</t>
  </si>
  <si>
    <t>ofa.c.interest_accrued</t>
  </si>
  <si>
    <t>15010</t>
  </si>
  <si>
    <t>Unbilled Revenue</t>
  </si>
  <si>
    <t>ofa.c.unbilled</t>
  </si>
  <si>
    <t>15020</t>
  </si>
  <si>
    <t>Recoverable from Group Companies - Corvus Analytics Limited</t>
  </si>
  <si>
    <t>Receivables from related parties</t>
  </si>
  <si>
    <t>ofa.c.recoverable_group</t>
  </si>
  <si>
    <t>16000</t>
  </si>
  <si>
    <t>Prepaid Expenses</t>
  </si>
  <si>
    <t>Other Current Assets</t>
  </si>
  <si>
    <t>oca.prepaid</t>
  </si>
  <si>
    <t>16010</t>
  </si>
  <si>
    <t>GST Input Credit</t>
  </si>
  <si>
    <t>oca.govt_balances</t>
  </si>
  <si>
    <t>16020</t>
  </si>
  <si>
    <t>Advance to Suppliers</t>
  </si>
  <si>
    <t>oca.advances_suppliers</t>
  </si>
  <si>
    <t>20000</t>
  </si>
  <si>
    <t>Equity Share Capital - Intercompany</t>
  </si>
  <si>
    <t>Share Capital</t>
  </si>
  <si>
    <t>eq.share_capital</t>
  </si>
  <si>
    <t>20100</t>
  </si>
  <si>
    <t>Securities Premium</t>
  </si>
  <si>
    <t>Other Equity</t>
  </si>
  <si>
    <t>oe.securities_premium</t>
  </si>
  <si>
    <t>20200</t>
  </si>
  <si>
    <t>Retained Earnings</t>
  </si>
  <si>
    <t>oe.retained_earnings</t>
  </si>
  <si>
    <t>21000</t>
  </si>
  <si>
    <t>Term Loan - Bank (Secured)</t>
  </si>
  <si>
    <t>Non Current Liabilities</t>
  </si>
  <si>
    <t>Borrowings</t>
  </si>
  <si>
    <t>borr.nc.term_loan_bank</t>
  </si>
  <si>
    <t>21010</t>
  </si>
  <si>
    <t>Intercompany Loan - Corvus Holdings Private Limited</t>
  </si>
  <si>
    <t>Intercompany Loans</t>
  </si>
  <si>
    <t>borr.nc.loan_holding</t>
  </si>
  <si>
    <t>21100</t>
  </si>
  <si>
    <t>Current Maturities of Term Loan</t>
  </si>
  <si>
    <t>Current Liabilities</t>
  </si>
  <si>
    <t>borr.c.current_maturities</t>
  </si>
  <si>
    <t>21200</t>
  </si>
  <si>
    <t>Lease Liability - Non Current</t>
  </si>
  <si>
    <t>Lease Liabilities</t>
  </si>
  <si>
    <t>lease.nc</t>
  </si>
  <si>
    <t>21210</t>
  </si>
  <si>
    <t>Lease Liability - Current</t>
  </si>
  <si>
    <t>lease.c</t>
  </si>
  <si>
    <t>21300</t>
  </si>
  <si>
    <t>Provision for Gratuity - Non Current</t>
  </si>
  <si>
    <t>Provisions</t>
  </si>
  <si>
    <t>prov.nc.gratuity</t>
  </si>
  <si>
    <t>21310</t>
  </si>
  <si>
    <t>Provision for Gratuity - Current</t>
  </si>
  <si>
    <t>prov.c.gratuity</t>
  </si>
  <si>
    <t>21320</t>
  </si>
  <si>
    <t>Provision for Compensated Absences</t>
  </si>
  <si>
    <t>prov.c.compensated_absences</t>
  </si>
  <si>
    <t>22000</t>
  </si>
  <si>
    <t>Trade Payables - MSME</t>
  </si>
  <si>
    <t>Trade Payables</t>
  </si>
  <si>
    <t>tp.msme</t>
  </si>
  <si>
    <t>22010</t>
  </si>
  <si>
    <t>Trade Payables - Others</t>
  </si>
  <si>
    <t>tp.others</t>
  </si>
  <si>
    <t>22020</t>
  </si>
  <si>
    <t>Intercompany Payable - Corvus Holdings Private Limited</t>
  </si>
  <si>
    <t>Intercompany Payables</t>
  </si>
  <si>
    <t>tp.related</t>
  </si>
  <si>
    <t>23000</t>
  </si>
  <si>
    <t>Salary Payable</t>
  </si>
  <si>
    <t>Other Financial Liabilities</t>
  </si>
  <si>
    <t>ofl.employee_payable</t>
  </si>
  <si>
    <t>23010</t>
  </si>
  <si>
    <t>Interest Accrued on Borrowings</t>
  </si>
  <si>
    <t>ofl.interest_accrued</t>
  </si>
  <si>
    <t>23020</t>
  </si>
  <si>
    <t>Capital Creditors</t>
  </si>
  <si>
    <t>ofl.capital_creditors</t>
  </si>
  <si>
    <t>24000</t>
  </si>
  <si>
    <t>TDS Payable</t>
  </si>
  <si>
    <t>Other Current Liabilities</t>
  </si>
  <si>
    <t>ocl.statutory_dues</t>
  </si>
  <si>
    <t>24010</t>
  </si>
  <si>
    <t>PF and ESI Payable</t>
  </si>
  <si>
    <t>24020</t>
  </si>
  <si>
    <t>Advance from Customers</t>
  </si>
  <si>
    <t>ocl.advance_customers</t>
  </si>
  <si>
    <t>25000</t>
  </si>
  <si>
    <t>Provision for Income Tax (net of advance tax)</t>
  </si>
  <si>
    <t>Current Tax Liabilities</t>
  </si>
  <si>
    <t>ctl.net</t>
  </si>
  <si>
    <t>40000</t>
  </si>
  <si>
    <t>Revenue - Sale of Services Domestic</t>
  </si>
  <si>
    <t>Income</t>
  </si>
  <si>
    <t>Revenue from Operations</t>
  </si>
  <si>
    <t>Sale of Services</t>
  </si>
  <si>
    <t>rev.services_domestic</t>
  </si>
  <si>
    <t>40010</t>
  </si>
  <si>
    <t>Revenue - Sale of Services Export</t>
  </si>
  <si>
    <t>rev.services_export</t>
  </si>
  <si>
    <t>40020</t>
  </si>
  <si>
    <t>Support Service Charges - IC Cost Plus - Corvus Technologies Inc.</t>
  </si>
  <si>
    <t>Intercompany Revenue</t>
  </si>
  <si>
    <t>rev.related_support</t>
  </si>
  <si>
    <t>41000</t>
  </si>
  <si>
    <t>Interest Income on Fixed Deposits</t>
  </si>
  <si>
    <t>Other Income</t>
  </si>
  <si>
    <t>Interest Income</t>
  </si>
  <si>
    <t>oi.interest_deposits</t>
  </si>
  <si>
    <t>41010</t>
  </si>
  <si>
    <t>Miscellaneous Income</t>
  </si>
  <si>
    <t>Other Non Operating Income</t>
  </si>
  <si>
    <t>oi.misc</t>
  </si>
  <si>
    <t>50000</t>
  </si>
  <si>
    <t>Salaries and Wages</t>
  </si>
  <si>
    <t>Expenses</t>
  </si>
  <si>
    <t>Employee Benefits Expense</t>
  </si>
  <si>
    <t>Salaries</t>
  </si>
  <si>
    <t>emp.salaries</t>
  </si>
  <si>
    <t>50010</t>
  </si>
  <si>
    <t>Bonus and Incentives</t>
  </si>
  <si>
    <t>50020</t>
  </si>
  <si>
    <t>Contribution to Provident Fund</t>
  </si>
  <si>
    <t>Contributions</t>
  </si>
  <si>
    <t>emp.pf</t>
  </si>
  <si>
    <t>50030</t>
  </si>
  <si>
    <t>Gratuity Expense</t>
  </si>
  <si>
    <t>Gratuity</t>
  </si>
  <si>
    <t>emp.gratuity</t>
  </si>
  <si>
    <t>50040</t>
  </si>
  <si>
    <t>Staff Welfare</t>
  </si>
  <si>
    <t>emp.welfare</t>
  </si>
  <si>
    <t>51000</t>
  </si>
  <si>
    <t>Interest on Term Loan</t>
  </si>
  <si>
    <t>Finance Costs</t>
  </si>
  <si>
    <t>Interest</t>
  </si>
  <si>
    <t>fin.interest_bank</t>
  </si>
  <si>
    <t>51010</t>
  </si>
  <si>
    <t>Interest on Intercompany Loan - Corvus Holdings Private Limited</t>
  </si>
  <si>
    <t>Intercompany Interest</t>
  </si>
  <si>
    <t>fin.interest_holding</t>
  </si>
  <si>
    <t>51020</t>
  </si>
  <si>
    <t>Interest on Lease Liabilities</t>
  </si>
  <si>
    <t>fin.interest_lease</t>
  </si>
  <si>
    <t>52000</t>
  </si>
  <si>
    <t>Depreciation on PPE</t>
  </si>
  <si>
    <t>Depreciation and Amortisation</t>
  </si>
  <si>
    <t>Depreciation</t>
  </si>
  <si>
    <t>dep.ppe</t>
  </si>
  <si>
    <t>52010</t>
  </si>
  <si>
    <t>Depreciation on ROU Assets</t>
  </si>
  <si>
    <t>dep.rou</t>
  </si>
  <si>
    <t>52020</t>
  </si>
  <si>
    <t>Amortisation of Software</t>
  </si>
  <si>
    <t>Amortisation</t>
  </si>
  <si>
    <t>dep.intangibles</t>
  </si>
  <si>
    <t>53000</t>
  </si>
  <si>
    <t>Legal and Professional Charges</t>
  </si>
  <si>
    <t>Other Expenses</t>
  </si>
  <si>
    <t>Professional Fees</t>
  </si>
  <si>
    <t>oth.legal_professional</t>
  </si>
  <si>
    <t>53010</t>
  </si>
  <si>
    <t>Travelling and Conveyance</t>
  </si>
  <si>
    <t>Travel</t>
  </si>
  <si>
    <t>oth.travel</t>
  </si>
  <si>
    <t>53020</t>
  </si>
  <si>
    <t>Communication Expenses</t>
  </si>
  <si>
    <t>Communication</t>
  </si>
  <si>
    <t>oth.communication</t>
  </si>
  <si>
    <t>53030</t>
  </si>
  <si>
    <t>Software Subscriptions</t>
  </si>
  <si>
    <t>IT Expenses</t>
  </si>
  <si>
    <t>oth.software</t>
  </si>
  <si>
    <t>53040</t>
  </si>
  <si>
    <t>Provision for Expected Credit Loss</t>
  </si>
  <si>
    <t>oth.ecl</t>
  </si>
  <si>
    <t>53050</t>
  </si>
  <si>
    <t>Audit Fees</t>
  </si>
  <si>
    <t>oth.auditor</t>
  </si>
  <si>
    <t>53060</t>
  </si>
  <si>
    <t>IC Support Services - Corvus Holdings Private Limited</t>
  </si>
  <si>
    <t>Intercompany Charges</t>
  </si>
  <si>
    <t>oth.support_services_group</t>
  </si>
  <si>
    <t>53090</t>
  </si>
  <si>
    <t>Miscellaneous Expenses</t>
  </si>
  <si>
    <t>Miscellaneous</t>
  </si>
  <si>
    <t>oth.misc</t>
  </si>
  <si>
    <t>54000</t>
  </si>
  <si>
    <t>Current Tax Expense</t>
  </si>
  <si>
    <t>Tax Expense</t>
  </si>
  <si>
    <t>Current Tax</t>
  </si>
  <si>
    <t>tax.current</t>
  </si>
  <si>
    <t>54010</t>
  </si>
  <si>
    <t>Deferred Tax Expense / (Credit)</t>
  </si>
  <si>
    <t>tax.deferred</t>
  </si>
  <si>
    <t>55000</t>
  </si>
  <si>
    <t>Remeasurement of Defined Benefit Plans (OCI)</t>
  </si>
  <si>
    <t>Other Comprehensive Income</t>
  </si>
  <si>
    <t>Remeasurements</t>
  </si>
  <si>
    <t>oci.remeasurement</t>
  </si>
  <si>
    <t>55010</t>
  </si>
  <si>
    <t>Tax on OCI Items</t>
  </si>
  <si>
    <t>Tax on OCI</t>
  </si>
  <si>
    <t>oci.tax</t>
  </si>
  <si>
    <t>Fixed asset register – summary by class (amounts in INR)</t>
  </si>
  <si>
    <t>Asset class</t>
  </si>
  <si>
    <t>Opening gross block</t>
  </si>
  <si>
    <t>Additions (incl. CWIP capitalised)</t>
  </si>
  <si>
    <t>Closing gross block</t>
  </si>
  <si>
    <t>Opening accumulated depreciation</t>
  </si>
  <si>
    <t>Depreciation on disposals</t>
  </si>
  <si>
    <t>Closing accumulated depreciation</t>
  </si>
  <si>
    <t>Net block</t>
  </si>
  <si>
    <t>Financial year ended March 31, 2025</t>
  </si>
  <si>
    <t>Financial year ended March 31, 2026</t>
  </si>
  <si>
    <t>Right-of-use assets – buildings</t>
  </si>
  <si>
    <t>FY ended March 31, 2025</t>
  </si>
  <si>
    <t>FY ended March 31, 2026</t>
  </si>
  <si>
    <t>Capital work-in-progress (opening / additions / capitalised / closing)</t>
  </si>
  <si>
    <t>Receivables and payables ageing (amounts in INR)</t>
  </si>
  <si>
    <t>Undisputed – considered good</t>
  </si>
  <si>
    <t>Undisputed – credit impaired</t>
  </si>
</sst>
</file>

<file path=xl/styles.xml><?xml version="1.0" encoding="utf-8"?>
<styleSheet xmlns="http://schemas.openxmlformats.org/spreadsheetml/2006/main">
  <numFmts count="6">
    <numFmt numFmtId="164" formatCode="_(* #,##0.00_);_(* \(#,##0.00\);_(* &quot;-&quot;??_);_(@_)"/>
    <numFmt numFmtId="165" formatCode="0.00"/>
    <numFmt numFmtId="166" formatCode="#,##0"/>
    <numFmt numFmtId="167" formatCode="0.00%"/>
    <numFmt numFmtId="168" formatCode="_(* #,##0_);_(* \(#,##0\);_(* &quot;-&quot;??_);_(@_)"/>
    <numFmt numFmtId="169" formatCode="#,##0.00;(#,##0.00);-"/>
  </numFmts>
  <fonts count="9">
    <font>
      <sz val="11"/>
      <color theme="1"/>
      <name val="Calibri"/>
      <family val="2"/>
      <scheme val="minor"/>
    </font>
    <font>
      <b/>
      <sz val="11"/>
      <color theme="1"/>
      <name val="Arial"/>
      <family val="2"/>
    </font>
    <font>
      <b/>
      <sz val="10"/>
      <color theme="1"/>
      <name val="Arial"/>
      <family val="2"/>
    </font>
    <font>
      <i/>
      <sz val="8"/>
      <color theme="1"/>
      <name val="Arial"/>
      <family val="2"/>
    </font>
    <font>
      <b/>
      <sz val="9"/>
      <color theme="1"/>
      <name val="Arial"/>
      <family val="2"/>
    </font>
    <font>
      <sz val="9"/>
      <color theme="1"/>
      <name val="Arial"/>
      <family val="2"/>
    </font>
    <font>
      <sz val="9"/>
      <color rgb="FFFFFFFF"/>
      <name val="Arial"/>
      <family val="2"/>
    </font>
    <font>
      <b/>
      <sz val="8"/>
      <color theme="1"/>
      <name val="Arial"/>
      <family val="2"/>
    </font>
    <font>
      <sz val="8"/>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double">
        <color auto="1"/>
      </bottom>
      <diagonal/>
    </border>
  </borders>
  <cellStyleXfs count="1">
    <xf numFmtId="0" fontId="0" fillId="0" borderId="0"/>
  </cellStyleXfs>
  <cellXfs count="2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right" vertical="top" wrapText="1"/>
    </xf>
    <xf numFmtId="0" fontId="4" fillId="0" borderId="0" xfId="0" applyFont="1" applyAlignment="1">
      <alignment vertical="top"/>
    </xf>
    <xf numFmtId="0" fontId="5" fillId="0" borderId="0" xfId="0" applyFont="1" applyAlignment="1">
      <alignment vertical="top" indent="1" wrapText="1"/>
    </xf>
    <xf numFmtId="0" fontId="5" fillId="0" borderId="0" xfId="0" applyFont="1" applyAlignment="1">
      <alignment horizontal="center" vertical="top"/>
    </xf>
    <xf numFmtId="164" fontId="5" fillId="0" borderId="0" xfId="0" applyNumberFormat="1" applyFont="1" applyAlignment="1">
      <alignment vertical="top"/>
    </xf>
    <xf numFmtId="0" fontId="5" fillId="0" borderId="0" xfId="0" applyFont="1" applyAlignment="1">
      <alignment vertical="top" indent="2" wrapText="1"/>
    </xf>
    <xf numFmtId="0" fontId="4" fillId="0" borderId="0" xfId="0" applyFont="1" applyAlignment="1">
      <alignment vertical="top" wrapText="1"/>
    </xf>
    <xf numFmtId="164" fontId="4" fillId="0" borderId="2" xfId="0" applyNumberFormat="1" applyFont="1" applyBorder="1" applyAlignment="1">
      <alignment vertical="top"/>
    </xf>
    <xf numFmtId="164" fontId="4" fillId="0" borderId="3" xfId="0" applyNumberFormat="1" applyFont="1" applyBorder="1" applyAlignment="1">
      <alignment vertical="top"/>
    </xf>
    <xf numFmtId="0" fontId="5" fillId="0" borderId="0" xfId="0" applyFont="1" applyAlignment="1">
      <alignment vertical="top" indent="3" wrapText="1"/>
    </xf>
    <xf numFmtId="0" fontId="5" fillId="0" borderId="0" xfId="0" applyFont="1" applyAlignment="1">
      <alignment vertical="top"/>
    </xf>
    <xf numFmtId="165" fontId="5" fillId="0" borderId="0" xfId="0" applyNumberFormat="1" applyFont="1" applyAlignment="1">
      <alignment vertical="top"/>
    </xf>
    <xf numFmtId="0" fontId="5" fillId="0" borderId="0" xfId="0" applyFont="1" applyAlignment="1">
      <alignment horizontal="left" vertical="top" wrapText="1"/>
    </xf>
    <xf numFmtId="164" fontId="6" fillId="0" borderId="0" xfId="0" applyNumberFormat="1" applyFont="1" applyAlignment="1">
      <alignment vertical="top"/>
    </xf>
    <xf numFmtId="166" fontId="5" fillId="0" borderId="0" xfId="0" applyNumberFormat="1" applyFont="1" applyAlignment="1">
      <alignment vertical="top"/>
    </xf>
    <xf numFmtId="167" fontId="5" fillId="0" borderId="0" xfId="0" applyNumberFormat="1" applyFont="1" applyAlignment="1">
      <alignment vertical="top"/>
    </xf>
    <xf numFmtId="168" fontId="5" fillId="0" borderId="0" xfId="0" applyNumberFormat="1" applyFont="1" applyAlignment="1">
      <alignment vertical="top"/>
    </xf>
    <xf numFmtId="0" fontId="5" fillId="0" borderId="0" xfId="0" applyFont="1" applyAlignment="1">
      <alignment vertical="top" wrapText="1"/>
    </xf>
    <xf numFmtId="0" fontId="7" fillId="0" borderId="1" xfId="0" applyFont="1" applyBorder="1" applyAlignment="1">
      <alignment vertical="top" wrapText="1"/>
    </xf>
    <xf numFmtId="0" fontId="8" fillId="0" borderId="0" xfId="0" applyFont="1" applyAlignment="1">
      <alignment vertical="top"/>
    </xf>
    <xf numFmtId="169" fontId="8" fillId="0" borderId="0" xfId="0" applyNumberFormat="1"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D67"/>
  <sheetViews>
    <sheetView showGridLines="0" tabSelected="1" workbookViewId="0"/>
  </sheetViews>
  <sheetFormatPr defaultRowHeight="15"/>
  <cols>
    <col min="1" max="1" width="52.7109375" customWidth="1"/>
    <col min="2" max="2" width="7.28515625" customWidth="1"/>
    <col min="3" max="4" width="15.28515625" customWidth="1"/>
  </cols>
  <sheetData>
    <row r="1" spans="1:4">
      <c r="A1" s="1" t="s">
        <v>0</v>
      </c>
    </row>
    <row r="2" spans="1:4">
      <c r="A2" s="2" t="s">
        <v>1</v>
      </c>
    </row>
    <row r="3" spans="1:4">
      <c r="A3" s="3" t="s">
        <v>2</v>
      </c>
    </row>
    <row r="5" spans="1:4" ht="26" customHeight="1">
      <c r="A5" s="4" t="s">
        <v>3</v>
      </c>
      <c r="B5" s="5" t="s">
        <v>4</v>
      </c>
      <c r="C5" s="6" t="s">
        <v>5</v>
      </c>
      <c r="D5" s="6" t="s">
        <v>6</v>
      </c>
    </row>
    <row r="6" spans="1:4">
      <c r="A6" s="7" t="s">
        <v>7</v>
      </c>
    </row>
    <row r="7" spans="1:4">
      <c r="A7" s="7" t="s">
        <v>8</v>
      </c>
    </row>
    <row r="8" spans="1:4">
      <c r="A8" s="8" t="s">
        <v>9</v>
      </c>
      <c r="B8" s="9">
        <v>3</v>
      </c>
      <c r="C8" s="10">
        <f>'Note 3-5'!E27</f>
        <v>557.79</v>
      </c>
      <c r="D8" s="10">
        <f>'Note 3-5'!E26</f>
        <v>478.14</v>
      </c>
    </row>
    <row r="9" spans="1:4">
      <c r="A9" s="8" t="s">
        <v>10</v>
      </c>
      <c r="B9" s="9">
        <v>3</v>
      </c>
      <c r="C9" s="10">
        <f>'Note 3-5'!B36</f>
        <v>10.86</v>
      </c>
      <c r="D9" s="10">
        <f>'Note 3-5'!B33</f>
        <v>8.57</v>
      </c>
    </row>
    <row r="10" spans="1:4">
      <c r="A10" s="8" t="s">
        <v>11</v>
      </c>
      <c r="B10" s="9">
        <v>4</v>
      </c>
      <c r="C10" s="10">
        <f>'Note 3-5'!B54</f>
        <v>177.72000000000006</v>
      </c>
      <c r="D10" s="10">
        <f>'Note 3-5'!B53</f>
        <v>199.72000000000003</v>
      </c>
    </row>
    <row r="11" spans="1:4">
      <c r="A11" s="8" t="s">
        <v>12</v>
      </c>
      <c r="B11" s="9">
        <v>5</v>
      </c>
      <c r="C11" s="10">
        <f>'Note 3-5'!B72</f>
        <v>53.849999999999994</v>
      </c>
      <c r="D11" s="10">
        <f>'Note 3-5'!B71</f>
        <v>53.82</v>
      </c>
    </row>
    <row r="12" spans="1:4">
      <c r="A12" s="8" t="s">
        <v>13</v>
      </c>
    </row>
    <row r="13" spans="1:4">
      <c r="A13" s="11" t="s">
        <v>14</v>
      </c>
      <c r="B13" s="9">
        <v>6</v>
      </c>
      <c r="C13" s="10">
        <f>'Note 6-11'!B9</f>
        <v>282.84</v>
      </c>
      <c r="D13" s="10">
        <f>'Note 6-11'!C9</f>
        <v>250.0</v>
      </c>
    </row>
    <row r="14" spans="1:4">
      <c r="A14" s="11" t="s">
        <v>15</v>
      </c>
      <c r="B14" s="9">
        <v>7</v>
      </c>
      <c r="C14" s="10">
        <f>'Note 6-11'!B16</f>
        <v>53.44</v>
      </c>
      <c r="D14" s="10">
        <f>'Note 6-11'!C16</f>
        <v>46.95</v>
      </c>
    </row>
    <row r="15" spans="1:4">
      <c r="A15" s="8" t="s">
        <v>16</v>
      </c>
      <c r="B15" s="9">
        <v>8</v>
      </c>
      <c r="C15" s="10">
        <f>'Note 6-11'!B28</f>
        <v>52.52</v>
      </c>
      <c r="D15" s="10">
        <f>'Note 6-11'!C28</f>
        <v>43.9</v>
      </c>
    </row>
    <row r="16" spans="1:4">
      <c r="A16" s="8" t="s">
        <v>17</v>
      </c>
      <c r="B16" s="9">
        <v>9</v>
      </c>
      <c r="C16" s="10">
        <f>'Note 6-11'!B34</f>
        <v>2.34</v>
      </c>
      <c r="D16" s="10">
        <f>'Note 6-11'!C34</f>
        <v>5.37</v>
      </c>
    </row>
    <row r="17" spans="1:4">
      <c r="A17" s="12" t="s">
        <v>18</v>
      </c>
      <c r="C17" s="13">
        <f>SUM(C8:C16)</f>
        <v>1191.36</v>
      </c>
      <c r="D17" s="13">
        <f>SUM(D8:D16)</f>
        <v>1086.47</v>
      </c>
    </row>
    <row r="18" spans="1:4">
      <c r="A18" s="7" t="s">
        <v>19</v>
      </c>
    </row>
    <row r="19" spans="1:4">
      <c r="A19" s="8" t="s">
        <v>20</v>
      </c>
    </row>
    <row r="20" spans="1:4">
      <c r="A20" s="11" t="s">
        <v>21</v>
      </c>
      <c r="B20" s="9">
        <v>10</v>
      </c>
      <c r="C20" s="10">
        <f>'Note 6-11'!B47</f>
        <v>755.82</v>
      </c>
      <c r="D20" s="10">
        <f>'Note 6-11'!C47</f>
        <v>587.08</v>
      </c>
    </row>
    <row r="21" spans="1:4">
      <c r="A21" s="11" t="s">
        <v>22</v>
      </c>
      <c r="B21" s="9">
        <v>11</v>
      </c>
      <c r="C21" s="10">
        <f>'Note 6-11'!B65</f>
        <v>1371.98</v>
      </c>
      <c r="D21" s="10">
        <f>'Note 6-11'!C65</f>
        <v>600.91</v>
      </c>
    </row>
    <row r="22" spans="1:4">
      <c r="A22" s="11" t="s">
        <v>23</v>
      </c>
      <c r="B22" s="9">
        <v>7</v>
      </c>
      <c r="C22" s="10">
        <f>'Note 6-11'!B21</f>
        <v>111.91000000000001</v>
      </c>
      <c r="D22" s="10">
        <f>'Note 6-11'!C21</f>
        <v>86.87</v>
      </c>
    </row>
    <row r="23" spans="1:4">
      <c r="A23" s="8" t="s">
        <v>24</v>
      </c>
      <c r="B23" s="9">
        <v>9</v>
      </c>
      <c r="C23" s="10">
        <f>'Note 6-11'!B39</f>
        <v>121.23</v>
      </c>
      <c r="D23" s="10">
        <f>'Note 6-11'!C39</f>
        <v>108.21000000000001</v>
      </c>
    </row>
    <row r="24" spans="1:4">
      <c r="A24" s="12" t="s">
        <v>25</v>
      </c>
      <c r="C24" s="13">
        <f>SUM(C20:C23)</f>
        <v>2360.94</v>
      </c>
      <c r="D24" s="13">
        <f>SUM(D20:D23)</f>
        <v>1383.07</v>
      </c>
    </row>
    <row r="25" spans="1:4">
      <c r="A25" s="12" t="s">
        <v>26</v>
      </c>
      <c r="C25" s="14">
        <f>C17+C24</f>
        <v>3552.3</v>
      </c>
      <c r="D25" s="14">
        <f>D17+D24</f>
        <v>2469.54</v>
      </c>
    </row>
    <row r="27" spans="1:4">
      <c r="A27" s="7" t="s">
        <v>27</v>
      </c>
    </row>
    <row r="28" spans="1:4">
      <c r="A28" s="7" t="s">
        <v>28</v>
      </c>
    </row>
    <row r="29" spans="1:4">
      <c r="A29" s="8" t="s">
        <v>29</v>
      </c>
      <c r="B29" s="9">
        <v>12</v>
      </c>
      <c r="C29" s="10">
        <f>'Note 12-13'!B11</f>
        <v>1050.0</v>
      </c>
      <c r="D29" s="10">
        <f>'Note 12-13'!C11</f>
        <v>1000.0</v>
      </c>
    </row>
    <row r="30" spans="1:4">
      <c r="A30" s="8" t="s">
        <v>30</v>
      </c>
      <c r="B30" s="9">
        <v>13</v>
      </c>
      <c r="C30" s="10">
        <f>'Note 12-13'!B42</f>
        <v>700.31</v>
      </c>
      <c r="D30" s="10">
        <f>'Note 12-13'!C42</f>
        <v>250.30999999999995</v>
      </c>
    </row>
    <row r="31" spans="1:4">
      <c r="A31" s="12" t="s">
        <v>31</v>
      </c>
      <c r="C31" s="13">
        <f>SUM(C29:C30)</f>
        <v>1750.31</v>
      </c>
      <c r="D31" s="13">
        <f>SUM(D29:D30)</f>
        <v>1250.31</v>
      </c>
    </row>
    <row r="32" spans="1:4">
      <c r="A32" s="7" t="s">
        <v>32</v>
      </c>
    </row>
    <row r="33" spans="1:4">
      <c r="A33" s="7" t="s">
        <v>33</v>
      </c>
    </row>
    <row r="34" spans="1:4">
      <c r="A34" s="8" t="s">
        <v>34</v>
      </c>
    </row>
    <row r="35" spans="1:4">
      <c r="A35" s="11" t="s">
        <v>35</v>
      </c>
      <c r="B35" s="9">
        <v>14</v>
      </c>
      <c r="C35" s="10">
        <f>'Note 14-19'!B10</f>
        <v>754.24</v>
      </c>
      <c r="D35" s="10">
        <f>'Note 14-19'!C10</f>
        <v>739.9300000000001</v>
      </c>
    </row>
    <row r="36" spans="1:4">
      <c r="A36" s="11" t="s">
        <v>36</v>
      </c>
      <c r="B36" s="9">
        <v>15</v>
      </c>
      <c r="C36" s="10">
        <f>'Note 14-19'!B45</f>
        <v>133.5</v>
      </c>
      <c r="D36" s="10">
        <f>'Note 14-19'!C45</f>
        <v>135.59</v>
      </c>
    </row>
    <row r="37" spans="1:4">
      <c r="A37" s="8" t="s">
        <v>37</v>
      </c>
      <c r="B37" s="9">
        <v>16</v>
      </c>
      <c r="C37" s="10">
        <f>'Note 14-19'!B58</f>
        <v>161.05</v>
      </c>
      <c r="D37" s="10">
        <f>'Note 14-19'!C58</f>
        <v>125.84</v>
      </c>
    </row>
    <row r="38" spans="1:4">
      <c r="A38" s="12" t="s">
        <v>38</v>
      </c>
      <c r="C38" s="13">
        <f>SUM(C35:C37)</f>
        <v>1048.79</v>
      </c>
      <c r="D38" s="13">
        <f>SUM(D35:D37)</f>
        <v>1001.3600000000001</v>
      </c>
    </row>
    <row r="39" spans="1:4">
      <c r="A39" s="7" t="s">
        <v>39</v>
      </c>
    </row>
    <row r="40" spans="1:4">
      <c r="A40" s="8" t="s">
        <v>34</v>
      </c>
    </row>
    <row r="41" spans="1:4">
      <c r="A41" s="11" t="s">
        <v>35</v>
      </c>
      <c r="B41" s="9">
        <v>14</v>
      </c>
      <c r="C41" s="10">
        <f>'Note 14-19'!B13</f>
        <v>74.79</v>
      </c>
      <c r="D41" s="10">
        <f>'Note 14-19'!C13</f>
        <v>67.82</v>
      </c>
    </row>
    <row r="42" spans="1:4">
      <c r="A42" s="11" t="s">
        <v>36</v>
      </c>
      <c r="B42" s="9">
        <v>15</v>
      </c>
      <c r="C42" s="10">
        <f>'Note 14-19'!B44</f>
        <v>57.21</v>
      </c>
      <c r="D42" s="10">
        <f>'Note 14-19'!C44</f>
        <v>58.11</v>
      </c>
    </row>
    <row r="43" spans="1:4">
      <c r="A43" s="11" t="s">
        <v>40</v>
      </c>
      <c r="B43" s="9" t="s">
        <v>41</v>
      </c>
    </row>
    <row r="44" spans="1:4">
      <c r="A44" s="15" t="s">
        <v>42</v>
      </c>
      <c r="C44" s="10">
        <f>'Note 14-19'!B83</f>
        <v>18.27</v>
      </c>
      <c r="D44" s="10">
        <f>'Note 14-19'!C83</f>
        <v>19.53</v>
      </c>
    </row>
    <row r="45" spans="1:4">
      <c r="A45" s="15" t="s">
        <v>43</v>
      </c>
      <c r="C45" s="10">
        <f>'Note 14-19'!B84</f>
        <v>255.2</v>
      </c>
      <c r="D45" s="10">
        <f>'Note 14-19'!C84</f>
        <v>245.55</v>
      </c>
    </row>
    <row r="46" spans="1:4">
      <c r="A46" s="11" t="s">
        <v>44</v>
      </c>
      <c r="B46" s="9">
        <v>18</v>
      </c>
      <c r="C46" s="10">
        <f>'Note 14-19'!B115</f>
        <v>145.70000000000002</v>
      </c>
      <c r="D46" s="10">
        <f>'Note 14-19'!C115</f>
        <v>142.71</v>
      </c>
    </row>
    <row r="47" spans="1:4">
      <c r="A47" s="8" t="s">
        <v>45</v>
      </c>
      <c r="B47" s="9">
        <v>19</v>
      </c>
      <c r="C47" s="10">
        <f>'Note 14-19'!B121</f>
        <v>105.53999999999999</v>
      </c>
      <c r="D47" s="10">
        <f>'Note 14-19'!C121</f>
        <v>97.47800000000001</v>
      </c>
    </row>
    <row r="48" spans="1:4">
      <c r="A48" s="8" t="s">
        <v>46</v>
      </c>
      <c r="B48" s="9">
        <v>16</v>
      </c>
      <c r="C48" s="10">
        <f>'Note 14-19'!B62</f>
        <v>68.07</v>
      </c>
      <c r="D48" s="10">
        <f>'Note 14-19'!C62</f>
        <v>54.44</v>
      </c>
    </row>
    <row r="49" spans="1:4">
      <c r="A49" s="8" t="s">
        <v>47</v>
      </c>
      <c r="B49" s="9">
        <v>26</v>
      </c>
      <c r="C49" s="10">
        <f>'Note 20-27'!B80</f>
        <v>20.54</v>
      </c>
      <c r="D49" s="10">
        <f>'Note 20-27'!C80</f>
        <v>0.43</v>
      </c>
    </row>
    <row r="50" spans="1:4">
      <c r="A50" s="12" t="s">
        <v>48</v>
      </c>
      <c r="C50" s="13">
        <f>SUM(C41:C49)</f>
        <v>745.32</v>
      </c>
      <c r="D50" s="13">
        <f>SUM(D41:D49)</f>
        <v>686.068</v>
      </c>
    </row>
    <row r="51" spans="1:4">
      <c r="A51" s="12" t="s">
        <v>49</v>
      </c>
      <c r="C51" s="13">
        <f>C38+C50</f>
        <v>1794.1100000000001</v>
      </c>
      <c r="D51" s="13">
        <f>D38+D50</f>
        <v>1687.428</v>
      </c>
    </row>
    <row r="52" spans="1:4">
      <c r="A52" s="12" t="s">
        <v>50</v>
      </c>
      <c r="C52" s="14">
        <f>C31+C51</f>
        <v>3544.42</v>
      </c>
      <c r="D52" s="14">
        <f>D31+D51</f>
        <v>2937.7380000000003</v>
      </c>
    </row>
    <row r="54" spans="1:4">
      <c r="A54" s="3" t="s">
        <v>51</v>
      </c>
    </row>
    <row r="56" spans="1:4">
      <c r="A56" s="16" t="s">
        <v>52</v>
      </c>
      <c r="C56" s="16" t="s">
        <v>53</v>
      </c>
    </row>
    <row r="57" spans="1:4">
      <c r="A57" s="7" t="s">
        <v>54</v>
      </c>
      <c r="C57" s="7" t="s">
        <v>0</v>
      </c>
    </row>
    <row r="58" spans="1:4">
      <c r="A58" s="16" t="s">
        <v>55</v>
      </c>
      <c r="C58" s="16" t="s">
        <v>56</v>
      </c>
    </row>
    <row r="59" spans="1:4">
      <c r="A59" s="16" t="s">
        <v>57</v>
      </c>
    </row>
    <row r="62" spans="1:4">
      <c r="A62" s="7" t="s">
        <v>58</v>
      </c>
      <c r="C62" s="7" t="s">
        <v>59</v>
      </c>
      <c r="D62" s="7" t="s">
        <v>60</v>
      </c>
    </row>
    <row r="63" spans="1:4">
      <c r="A63" s="16" t="s">
        <v>61</v>
      </c>
      <c r="C63" s="16" t="s">
        <v>62</v>
      </c>
      <c r="D63" s="16" t="s">
        <v>62</v>
      </c>
    </row>
    <row r="64" spans="1:4">
      <c r="A64" s="16" t="s">
        <v>63</v>
      </c>
      <c r="C64" s="16" t="s">
        <v>64</v>
      </c>
      <c r="D64" s="16" t="s">
        <v>65</v>
      </c>
    </row>
    <row r="66" spans="1:3">
      <c r="A66" s="16" t="s">
        <v>66</v>
      </c>
      <c r="C66" s="16" t="s">
        <v>66</v>
      </c>
    </row>
    <row r="67" spans="1:3">
      <c r="A67" s="16" t="s">
        <v>67</v>
      </c>
      <c r="C67" s="16" t="s">
        <v>68</v>
      </c>
    </row>
  </sheetData>
  <pageMargins left="0.5" right="0.5" top="0.6" bottom="0.6" header="0.3" footer="0.3"/>
  <pageSetup paperSize="9" fitToHeight="0" orientation="portrait"/>
</worksheet>
</file>

<file path=xl/worksheets/sheet2.xml><?xml version="1.0" encoding="utf-8"?>
<worksheet xmlns="http://schemas.openxmlformats.org/spreadsheetml/2006/main" xmlns:r="http://schemas.openxmlformats.org/officeDocument/2006/relationships">
  <sheetPr>
    <pageSetUpPr fitToPage="1"/>
  </sheetPr>
  <dimension ref="A1:D44"/>
  <sheetViews>
    <sheetView showGridLines="0" tabSelected="1" workbookViewId="0"/>
  </sheetViews>
  <sheetFormatPr defaultRowHeight="15"/>
  <cols>
    <col min="1" max="1" width="52.7109375" customWidth="1"/>
    <col min="2" max="2" width="7.28515625" customWidth="1"/>
    <col min="3" max="4" width="15.28515625" customWidth="1"/>
  </cols>
  <sheetData>
    <row r="1" spans="1:4">
      <c r="A1" s="1" t="s">
        <v>0</v>
      </c>
    </row>
    <row r="2" spans="1:4">
      <c r="A2" s="2" t="s">
        <v>69</v>
      </c>
    </row>
    <row r="3" spans="1:4">
      <c r="A3" s="3" t="s">
        <v>2</v>
      </c>
    </row>
    <row r="5" spans="1:4" ht="26" customHeight="1">
      <c r="A5" s="4" t="s">
        <v>3</v>
      </c>
      <c r="B5" s="5" t="s">
        <v>4</v>
      </c>
      <c r="C5" s="6" t="s">
        <v>70</v>
      </c>
      <c r="D5" s="6" t="s">
        <v>71</v>
      </c>
    </row>
    <row r="6" spans="1:4">
      <c r="A6" s="8" t="s">
        <v>72</v>
      </c>
      <c r="B6" s="9">
        <v>20</v>
      </c>
      <c r="C6" s="10">
        <f>'Note 20-27'!B9</f>
        <v>4468.37</v>
      </c>
      <c r="D6" s="10">
        <f>'Note 20-27'!C9</f>
        <v>3478.37</v>
      </c>
    </row>
    <row r="7" spans="1:4">
      <c r="A7" s="8" t="s">
        <v>73</v>
      </c>
      <c r="B7" s="9">
        <v>21</v>
      </c>
      <c r="C7" s="10">
        <f>'Note 20-27'!B23</f>
        <v>37.29</v>
      </c>
      <c r="D7" s="10">
        <f>'Note 20-27'!C23</f>
        <v>27.1</v>
      </c>
    </row>
    <row r="8" spans="1:4">
      <c r="A8" s="12" t="s">
        <v>74</v>
      </c>
      <c r="C8" s="13">
        <f>SUM(C6:C7)</f>
        <v>4505.66</v>
      </c>
      <c r="D8" s="13">
        <f>SUM(D6:D7)</f>
        <v>3505.47</v>
      </c>
    </row>
    <row r="9" spans="1:4">
      <c r="A9" s="7" t="s">
        <v>75</v>
      </c>
    </row>
    <row r="10" spans="1:4">
      <c r="A10" s="8" t="s">
        <v>76</v>
      </c>
      <c r="B10" s="9">
        <v>22</v>
      </c>
      <c r="C10" s="10">
        <f>'Note 20-27'!B31</f>
        <v>2644.21</v>
      </c>
      <c r="D10" s="10">
        <f>'Note 20-27'!C31</f>
        <v>2552.97</v>
      </c>
    </row>
    <row r="11" spans="1:4">
      <c r="A11" s="8" t="s">
        <v>77</v>
      </c>
      <c r="B11" s="9">
        <v>23</v>
      </c>
      <c r="C11" s="10">
        <f>'Note 20-27'!B38</f>
        <v>85.13</v>
      </c>
      <c r="D11" s="10">
        <f>'Note 20-27'!C38</f>
        <v>89.99</v>
      </c>
    </row>
    <row r="12" spans="1:4">
      <c r="A12" s="8" t="s">
        <v>78</v>
      </c>
      <c r="B12" s="9">
        <v>24</v>
      </c>
      <c r="C12" s="10">
        <f>'Note 20-27'!B45</f>
        <v>195.5</v>
      </c>
      <c r="D12" s="10">
        <f>'Note 20-27'!C45</f>
        <v>162.87</v>
      </c>
    </row>
    <row r="13" spans="1:4">
      <c r="A13" s="8" t="s">
        <v>79</v>
      </c>
      <c r="B13" s="9">
        <v>25</v>
      </c>
      <c r="C13" s="10">
        <f>'Note 20-27'!B57</f>
        <v>933.25</v>
      </c>
      <c r="D13" s="10">
        <f>'Note 20-27'!C57</f>
        <v>891.1600000000001</v>
      </c>
    </row>
    <row r="14" spans="1:4">
      <c r="A14" s="12" t="s">
        <v>80</v>
      </c>
      <c r="C14" s="13">
        <f>SUM(C10:C13)-0.01</f>
        <v>3858.08</v>
      </c>
      <c r="D14" s="13">
        <f>SUM(D10:D13)</f>
        <v>3696.99</v>
      </c>
    </row>
    <row r="15" spans="1:4">
      <c r="A15" s="12" t="s">
        <v>81</v>
      </c>
      <c r="C15" s="13">
        <f>C8-C14</f>
        <v>647.5799999999999</v>
      </c>
      <c r="D15" s="13">
        <f>D8-D14</f>
        <v>-191.51999999999998</v>
      </c>
    </row>
    <row r="16" spans="1:4">
      <c r="A16" s="7" t="s">
        <v>82</v>
      </c>
      <c r="B16" s="9" t="s">
        <v>83</v>
      </c>
    </row>
    <row r="17" spans="1:4">
      <c r="A17" s="11" t="s">
        <v>84</v>
      </c>
      <c r="C17" s="10">
        <f>'Note 20-27'!B66</f>
        <v>171.14</v>
      </c>
      <c r="D17" s="10">
        <f>'Note 20-27'!C66</f>
        <v>3.56</v>
      </c>
    </row>
    <row r="18" spans="1:4">
      <c r="A18" s="11" t="s">
        <v>85</v>
      </c>
      <c r="C18" s="10">
        <f>'Note 20-27'!B67</f>
        <v>-6.16</v>
      </c>
      <c r="D18" s="10">
        <f>'Note 20-27'!C67</f>
        <v>-8.22</v>
      </c>
    </row>
    <row r="19" spans="1:4">
      <c r="A19" s="12" t="s">
        <v>86</v>
      </c>
      <c r="C19" s="13">
        <f>SUM(C17:C18)</f>
        <v>164.98</v>
      </c>
      <c r="D19" s="13">
        <f>SUM(D17:D18)</f>
        <v>-4.66</v>
      </c>
    </row>
    <row r="20" spans="1:4">
      <c r="A20" s="12" t="s">
        <v>87</v>
      </c>
      <c r="C20" s="13">
        <f>C15-C19+C25</f>
        <v>475.2999999999999</v>
      </c>
      <c r="D20" s="13">
        <f>D15-D19</f>
        <v>-186.85999999999999</v>
      </c>
    </row>
    <row r="21" spans="1:4">
      <c r="A21" s="7" t="s">
        <v>88</v>
      </c>
    </row>
    <row r="22" spans="1:4">
      <c r="A22" s="8" t="s">
        <v>89</v>
      </c>
    </row>
    <row r="23" spans="1:4">
      <c r="A23" s="11" t="s">
        <v>90</v>
      </c>
      <c r="C23" s="10">
        <f>-SUMIF(NS_TB_FT27!$H$5:$H$82,"oci.remeasurement",NS_TB_FT27!$I$5:$I$82)/100000</f>
        <v>-9.76</v>
      </c>
      <c r="D23" s="10">
        <f>-SUMIF(NS_TB_FT27!$H$5:$H$82,"oci.remeasurement",NS_TB_FT27!$J$5:$J$82)/100000</f>
        <v>-6.51</v>
      </c>
    </row>
    <row r="24" spans="1:4">
      <c r="A24" s="11" t="s">
        <v>91</v>
      </c>
      <c r="C24" s="10">
        <f>-SUMIF(NS_TB_FT27!$H$5:$H$82,"oci.tax",NS_TB_FT27!$I$5:$I$82)/100000</f>
        <v>2.46</v>
      </c>
      <c r="D24" s="10">
        <f>-SUMIF(NS_TB_FT27!$H$5:$H$82,"oci.tax",NS_TB_FT27!$J$5:$J$82)/100000</f>
        <v>1.64</v>
      </c>
    </row>
    <row r="25" spans="1:4">
      <c r="A25" s="12" t="s">
        <v>92</v>
      </c>
      <c r="C25" s="13">
        <f>SUM(C23:C24)</f>
        <v>-7.3</v>
      </c>
      <c r="D25" s="13">
        <f>SUM(D23:D24)</f>
        <v>-4.87</v>
      </c>
    </row>
    <row r="26" spans="1:4">
      <c r="A26" s="12" t="s">
        <v>93</v>
      </c>
      <c r="C26" s="14">
        <f>C20+C25</f>
        <v>467.9999999999999</v>
      </c>
      <c r="D26" s="14">
        <f>D20+D25</f>
        <v>-191.73</v>
      </c>
    </row>
    <row r="27" spans="1:4">
      <c r="A27" s="7" t="s">
        <v>94</v>
      </c>
      <c r="B27" s="9" t="s">
        <v>95</v>
      </c>
    </row>
    <row r="28" spans="1:4">
      <c r="A28" s="11" t="s">
        <v>96</v>
      </c>
      <c r="C28" s="17">
        <f>'Note 20-27'!C87</f>
        <v>-1.8686</v>
      </c>
      <c r="D28" s="17">
        <f>'Note 20-27'!C87</f>
        <v>-1.8686</v>
      </c>
    </row>
    <row r="29" spans="1:4">
      <c r="A29" s="11" t="s">
        <v>97</v>
      </c>
      <c r="C29" s="17">
        <f>'Note 20-27'!B87</f>
        <v>4.684971866019463</v>
      </c>
      <c r="D29" s="17">
        <f>'Note 20-27'!C87</f>
        <v>-1.8686</v>
      </c>
    </row>
    <row r="31" spans="1:4">
      <c r="A31" s="3" t="s">
        <v>51</v>
      </c>
    </row>
    <row r="33" spans="1:4">
      <c r="A33" s="16" t="s">
        <v>52</v>
      </c>
      <c r="C33" s="16" t="s">
        <v>53</v>
      </c>
    </row>
    <row r="34" spans="1:4">
      <c r="A34" s="7" t="s">
        <v>54</v>
      </c>
      <c r="C34" s="7" t="s">
        <v>0</v>
      </c>
    </row>
    <row r="35" spans="1:4">
      <c r="A35" s="16" t="s">
        <v>55</v>
      </c>
      <c r="C35" s="16" t="s">
        <v>56</v>
      </c>
    </row>
    <row r="36" spans="1:4">
      <c r="A36" s="16" t="s">
        <v>57</v>
      </c>
    </row>
    <row r="39" spans="1:4">
      <c r="A39" s="7" t="s">
        <v>58</v>
      </c>
      <c r="C39" s="7" t="s">
        <v>59</v>
      </c>
      <c r="D39" s="7" t="s">
        <v>60</v>
      </c>
    </row>
    <row r="40" spans="1:4">
      <c r="A40" s="16" t="s">
        <v>61</v>
      </c>
      <c r="C40" s="16" t="s">
        <v>62</v>
      </c>
      <c r="D40" s="16" t="s">
        <v>62</v>
      </c>
    </row>
    <row r="41" spans="1:4">
      <c r="A41" s="16" t="s">
        <v>63</v>
      </c>
      <c r="C41" s="16" t="s">
        <v>64</v>
      </c>
      <c r="D41" s="16" t="s">
        <v>64</v>
      </c>
    </row>
    <row r="43" spans="1:4">
      <c r="A43" s="16" t="s">
        <v>66</v>
      </c>
      <c r="C43" s="16" t="s">
        <v>66</v>
      </c>
    </row>
    <row r="44" spans="1:4">
      <c r="A44" s="16" t="s">
        <v>67</v>
      </c>
      <c r="C44" s="16" t="s">
        <v>67</v>
      </c>
    </row>
  </sheetData>
  <pageMargins left="0.5" right="0.5" top="0.6" bottom="0.6" header="0.3" footer="0.3"/>
  <pageSetup paperSize="9" fitToHeight="0" orientation="portrait"/>
</worksheet>
</file>

<file path=xl/worksheets/sheet3.xml><?xml version="1.0" encoding="utf-8"?>
<worksheet xmlns="http://schemas.openxmlformats.org/spreadsheetml/2006/main" xmlns:r="http://schemas.openxmlformats.org/officeDocument/2006/relationships">
  <sheetPr>
    <pageSetUpPr fitToPage="1"/>
  </sheetPr>
  <dimension ref="A1:E32"/>
  <sheetViews>
    <sheetView showGridLines="0" tabSelected="1" workbookViewId="0"/>
  </sheetViews>
  <sheetFormatPr defaultRowHeight="15"/>
  <cols>
    <col min="1" max="1" width="50.7109375" customWidth="1"/>
    <col min="2" max="5" width="15.28515625" customWidth="1"/>
  </cols>
  <sheetData>
    <row r="1" spans="1:5">
      <c r="A1" s="1" t="s">
        <v>0</v>
      </c>
    </row>
    <row r="2" spans="1:5">
      <c r="A2" s="2" t="s">
        <v>98</v>
      </c>
    </row>
    <row r="3" spans="1:5">
      <c r="A3" s="3" t="s">
        <v>2</v>
      </c>
    </row>
    <row r="5" spans="1:5">
      <c r="A5" s="8" t="s">
        <v>99</v>
      </c>
    </row>
    <row r="6" spans="1:5" ht="26" customHeight="1">
      <c r="A6" s="4" t="s">
        <v>3</v>
      </c>
      <c r="B6" s="6" t="s">
        <v>100</v>
      </c>
      <c r="C6" s="6" t="s">
        <v>101</v>
      </c>
      <c r="D6" s="6" t="s">
        <v>102</v>
      </c>
      <c r="E6" s="6" t="s">
        <v>31</v>
      </c>
    </row>
    <row r="7" spans="1:5">
      <c r="A7" s="12" t="s">
        <v>103</v>
      </c>
      <c r="B7" s="10">
        <v>1000</v>
      </c>
      <c r="C7" s="10">
        <v>1500</v>
      </c>
      <c r="D7" s="10">
        <v>-1526.12</v>
      </c>
      <c r="E7" s="10">
        <f t="shared" ref="E7:E9" si="0">SUM(B7:D7)</f>
        <v>973.8800000000001</v>
      </c>
    </row>
    <row r="8" spans="1:5">
      <c r="A8" s="8" t="s">
        <v>104</v>
      </c>
      <c r="D8" s="10">
        <v>-186.88</v>
      </c>
      <c r="E8" s="10">
        <f t="shared" si="0"/>
        <v>-186.88</v>
      </c>
    </row>
    <row r="9" spans="1:5">
      <c r="A9" s="8" t="s">
        <v>105</v>
      </c>
      <c r="D9" s="10">
        <f>PL!D25</f>
        <v>-4.87</v>
      </c>
      <c r="E9" s="10">
        <f t="shared" si="0"/>
        <v>-4.87</v>
      </c>
    </row>
    <row r="10" spans="1:5">
      <c r="A10" s="12" t="s">
        <v>106</v>
      </c>
      <c r="B10" s="13">
        <f>SUM(B8:B9)</f>
        <v>0.0</v>
      </c>
      <c r="C10" s="13">
        <f>SUM(C8:C9)</f>
        <v>0.0</v>
      </c>
      <c r="D10" s="13">
        <f>SUM(D8:D9)</f>
        <v>-191.75</v>
      </c>
      <c r="E10" s="13">
        <f>SUM(E8:E9)</f>
        <v>-191.75</v>
      </c>
    </row>
    <row r="11" spans="1:5">
      <c r="A11" s="8" t="s">
        <v>107</v>
      </c>
      <c r="B11" s="10">
        <v>0</v>
      </c>
      <c r="C11" s="10">
        <v>0</v>
      </c>
      <c r="E11" s="10">
        <f>SUM(B11:D11)</f>
        <v>0.0</v>
      </c>
    </row>
    <row r="12" spans="1:5">
      <c r="A12" s="12" t="s">
        <v>108</v>
      </c>
      <c r="B12" s="14">
        <f>B7+B10+B11</f>
        <v>1000.0</v>
      </c>
      <c r="C12" s="14">
        <f>C7+C10+C11</f>
        <v>1500.0</v>
      </c>
      <c r="D12" s="14">
        <f>D7+D10+D11</f>
        <v>-1717.87</v>
      </c>
      <c r="E12" s="14">
        <f>E7+E10+E11</f>
        <v>782.1300000000001</v>
      </c>
    </row>
    <row r="13" spans="1:5">
      <c r="A13" s="8" t="s">
        <v>104</v>
      </c>
      <c r="D13" s="10">
        <f>PL!C20</f>
        <v>475.2999999999999</v>
      </c>
      <c r="E13" s="10">
        <f>SUM(B13:D13)</f>
        <v>475.2999999999999</v>
      </c>
    </row>
    <row r="14" spans="1:5">
      <c r="A14" s="8" t="s">
        <v>105</v>
      </c>
      <c r="D14" s="10">
        <f>PL!C25</f>
        <v>-7.3</v>
      </c>
      <c r="E14" s="10">
        <f>SUM(B14:D14)</f>
        <v>-7.3</v>
      </c>
    </row>
    <row r="15" spans="1:5">
      <c r="A15" s="12" t="s">
        <v>106</v>
      </c>
      <c r="B15" s="13">
        <f>SUM(B13:B14)</f>
        <v>0.0</v>
      </c>
      <c r="C15" s="13">
        <f>SUM(C13:C14)</f>
        <v>0.0</v>
      </c>
      <c r="D15" s="13">
        <f>SUM(D13:D14)</f>
        <v>467.9999999999999</v>
      </c>
      <c r="E15" s="13">
        <f>SUM(E13:E14)</f>
        <v>467.9999999999999</v>
      </c>
    </row>
    <row r="16" spans="1:5">
      <c r="A16" s="8" t="s">
        <v>107</v>
      </c>
      <c r="B16" s="10">
        <f>'Note 12-13'!C17</f>
        <v>50.0</v>
      </c>
      <c r="C16" s="10">
        <f>'Note 12-13'!B35</f>
        <v>450.0</v>
      </c>
      <c r="E16" s="10">
        <f>SUM(B16:D16)</f>
        <v>500.0</v>
      </c>
    </row>
    <row r="17" spans="1:5">
      <c r="A17" s="12" t="s">
        <v>109</v>
      </c>
      <c r="B17" s="14">
        <f>B12+B15+B16</f>
        <v>1050.0</v>
      </c>
      <c r="C17" s="14">
        <f>C12+C15+C16</f>
        <v>1950.0</v>
      </c>
      <c r="D17" s="14">
        <f>D12+D15+D16</f>
        <v>-1249.87</v>
      </c>
      <c r="E17" s="14">
        <f>E12+E15+E16</f>
        <v>1750.13</v>
      </c>
    </row>
    <row r="19" spans="1:5">
      <c r="A19" s="3" t="s">
        <v>51</v>
      </c>
    </row>
    <row r="21" spans="1:5">
      <c r="A21" s="16" t="s">
        <v>52</v>
      </c>
      <c r="C21" s="16" t="s">
        <v>53</v>
      </c>
    </row>
    <row r="22" spans="1:5">
      <c r="A22" s="7" t="s">
        <v>54</v>
      </c>
      <c r="C22" s="7" t="s">
        <v>0</v>
      </c>
    </row>
    <row r="23" spans="1:5">
      <c r="A23" s="16" t="s">
        <v>55</v>
      </c>
      <c r="C23" s="16" t="s">
        <v>56</v>
      </c>
    </row>
    <row r="24" spans="1:5">
      <c r="A24" s="16" t="s">
        <v>57</v>
      </c>
    </row>
    <row r="27" spans="1:5">
      <c r="A27" s="7" t="s">
        <v>58</v>
      </c>
      <c r="C27" s="7" t="s">
        <v>59</v>
      </c>
      <c r="D27" s="7" t="s">
        <v>60</v>
      </c>
    </row>
    <row r="28" spans="1:5">
      <c r="A28" s="16" t="s">
        <v>61</v>
      </c>
      <c r="C28" s="16" t="s">
        <v>62</v>
      </c>
      <c r="D28" s="16" t="s">
        <v>110</v>
      </c>
    </row>
    <row r="29" spans="1:5">
      <c r="A29" s="16" t="s">
        <v>63</v>
      </c>
      <c r="C29" s="16" t="s">
        <v>64</v>
      </c>
      <c r="D29" s="16" t="s">
        <v>65</v>
      </c>
    </row>
    <row r="31" spans="1:5">
      <c r="A31" s="16" t="s">
        <v>66</v>
      </c>
      <c r="C31" s="16" t="s">
        <v>66</v>
      </c>
    </row>
    <row r="32" spans="1:5">
      <c r="A32" s="16" t="s">
        <v>67</v>
      </c>
      <c r="C32" s="16" t="s">
        <v>111</v>
      </c>
    </row>
  </sheetData>
  <pageMargins left="0.5" right="0.5" top="0.6" bottom="0.6" header="0.3" footer="0.3"/>
  <pageSetup paperSize="9" fitToHeight="0" orientation="portrait"/>
</worksheet>
</file>

<file path=xl/worksheets/sheet4.xml><?xml version="1.0" encoding="utf-8"?>
<worksheet xmlns="http://schemas.openxmlformats.org/spreadsheetml/2006/main" xmlns:r="http://schemas.openxmlformats.org/officeDocument/2006/relationships">
  <sheetPr>
    <pageSetUpPr fitToPage="1"/>
  </sheetPr>
  <dimension ref="A1:C67"/>
  <sheetViews>
    <sheetView showGridLines="0" tabSelected="1" workbookViewId="0"/>
  </sheetViews>
  <sheetFormatPr defaultRowHeight="15"/>
  <cols>
    <col min="1" max="1" width="60.7109375" customWidth="1"/>
    <col min="2" max="3" width="15.28515625" customWidth="1"/>
  </cols>
  <sheetData>
    <row r="1" spans="1:3">
      <c r="A1" s="1" t="s">
        <v>0</v>
      </c>
    </row>
    <row r="2" spans="1:3">
      <c r="A2" s="2" t="s">
        <v>112</v>
      </c>
    </row>
    <row r="3" spans="1:3">
      <c r="A3" s="3" t="s">
        <v>2</v>
      </c>
    </row>
    <row r="5" spans="1:3" ht="26" customHeight="1">
      <c r="A5" s="4" t="s">
        <v>3</v>
      </c>
      <c r="B5" s="6" t="s">
        <v>70</v>
      </c>
      <c r="C5" s="6" t="s">
        <v>71</v>
      </c>
    </row>
    <row r="6" spans="1:3">
      <c r="A6" s="7" t="s">
        <v>113</v>
      </c>
    </row>
    <row r="7" spans="1:3">
      <c r="A7" s="8" t="s">
        <v>114</v>
      </c>
      <c r="B7" s="10">
        <f>PL!C15</f>
        <v>647.5799999999999</v>
      </c>
      <c r="C7" s="10">
        <f>PL!D15</f>
        <v>-191.51999999999998</v>
      </c>
    </row>
    <row r="8" spans="1:3">
      <c r="A8" s="8" t="s">
        <v>115</v>
      </c>
    </row>
    <row r="9" spans="1:3">
      <c r="A9" s="11" t="s">
        <v>78</v>
      </c>
      <c r="B9" s="10">
        <v>195.53</v>
      </c>
      <c r="C9" s="10">
        <f>PL!D12</f>
        <v>162.87</v>
      </c>
    </row>
    <row r="10" spans="1:3">
      <c r="A10" s="11" t="s">
        <v>77</v>
      </c>
      <c r="B10" s="10">
        <f>PL!C11</f>
        <v>85.13</v>
      </c>
      <c r="C10" s="10">
        <f>PL!D11</f>
        <v>89.99</v>
      </c>
    </row>
    <row r="11" spans="1:3">
      <c r="A11" s="11" t="s">
        <v>116</v>
      </c>
      <c r="B11" s="10">
        <f>-'Note 20-27'!B21</f>
        <v>-29.57</v>
      </c>
      <c r="C11" s="10">
        <f>-'Note 20-27'!C21</f>
        <v>-21.25</v>
      </c>
    </row>
    <row r="12" spans="1:3">
      <c r="A12" s="12" t="s">
        <v>117</v>
      </c>
      <c r="B12" s="13">
        <f>SUM(B7:B11)</f>
        <v>898.67</v>
      </c>
      <c r="C12" s="13">
        <f>SUM(C7:C11)</f>
        <v>40.09000000000002</v>
      </c>
    </row>
    <row r="13" spans="1:3">
      <c r="A13" s="8" t="s">
        <v>118</v>
      </c>
    </row>
    <row r="14" spans="1:3">
      <c r="A14" s="11" t="s">
        <v>119</v>
      </c>
      <c r="B14" s="10">
        <f>BS!D20-BS!C20</f>
        <v>-168.74</v>
      </c>
      <c r="C14" s="10">
        <v>371.27</v>
      </c>
    </row>
    <row r="15" spans="1:3">
      <c r="A15" s="11" t="s">
        <v>120</v>
      </c>
      <c r="B15" s="10">
        <f>(BS!D14+BS!D22)-(BS!C14+BS!C22)</f>
        <v>-31.53000000000003</v>
      </c>
      <c r="C15" s="10">
        <v>-13.98</v>
      </c>
    </row>
    <row r="16" spans="1:3">
      <c r="A16" s="11" t="s">
        <v>121</v>
      </c>
      <c r="B16" s="10">
        <f>(BS!D16+BS!D23)-(BS!C16+BS!C23)</f>
        <v>-9.989999999999995</v>
      </c>
      <c r="C16" s="10">
        <v>-14.32</v>
      </c>
    </row>
    <row r="17" spans="1:3">
      <c r="A17" s="11" t="s">
        <v>122</v>
      </c>
      <c r="B17" s="10">
        <f>(BS!C44+BS!C45)-(BS!D44+BS!D45)</f>
        <v>8.38999999999993</v>
      </c>
      <c r="C17" s="10">
        <v>-24.71</v>
      </c>
    </row>
    <row r="18" spans="1:3">
      <c r="A18" s="11" t="s">
        <v>123</v>
      </c>
      <c r="B18" s="10">
        <f>BS!C46-BS!D46</f>
        <v>2.990000000000009</v>
      </c>
      <c r="C18" s="10">
        <v>7.23</v>
      </c>
    </row>
    <row r="19" spans="1:3">
      <c r="A19" s="11" t="s">
        <v>124</v>
      </c>
      <c r="B19" s="10">
        <f>BS!C47-BS!D47</f>
        <v>8.061999999999983</v>
      </c>
      <c r="C19" s="10">
        <v>10.19</v>
      </c>
    </row>
    <row r="20" spans="1:3">
      <c r="A20" s="11" t="s">
        <v>125</v>
      </c>
      <c r="B20" s="10">
        <f>(BS!C37+BS!C48)-(BS!D37+BS!D48)</f>
        <v>48.84</v>
      </c>
      <c r="C20" s="10">
        <v>43.38</v>
      </c>
    </row>
    <row r="21" spans="1:3">
      <c r="A21" s="11" t="s">
        <v>126</v>
      </c>
      <c r="B21" s="10">
        <f>PL!C23</f>
        <v>-9.76</v>
      </c>
      <c r="C21" s="10">
        <v>-6.51</v>
      </c>
    </row>
    <row r="22" spans="1:3">
      <c r="A22" s="12" t="s">
        <v>127</v>
      </c>
      <c r="B22" s="13">
        <f>SUM(B12:B21)</f>
        <v>746.9319999999999</v>
      </c>
      <c r="C22" s="13">
        <f>SUM(C12:C21)</f>
        <v>412.64</v>
      </c>
    </row>
    <row r="23" spans="1:3">
      <c r="A23" s="8" t="s">
        <v>128</v>
      </c>
      <c r="B23" s="10">
        <f>-(PL!C17-(BS!C49-BS!D49))</f>
        <v>-151.02999999999997</v>
      </c>
      <c r="C23" s="10">
        <v>-22.55</v>
      </c>
    </row>
    <row r="24" spans="1:3">
      <c r="A24" s="12" t="s">
        <v>129</v>
      </c>
      <c r="B24" s="13">
        <f>SUM(B22:B23)-0.03</f>
        <v>595.872</v>
      </c>
      <c r="C24" s="13">
        <f>SUM(C22:C23)</f>
        <v>390.09</v>
      </c>
    </row>
    <row r="26" spans="1:3">
      <c r="A26" s="7" t="s">
        <v>130</v>
      </c>
    </row>
    <row r="27" spans="1:3">
      <c r="A27" s="11" t="s">
        <v>131</v>
      </c>
      <c r="B27" s="10">
        <f>-('Note 3-5'!E14+'Note 3-5'!B34+'Note 3-5'!B35)</f>
        <v>-199.95999999999998</v>
      </c>
      <c r="C27" s="10">
        <v>-184.75</v>
      </c>
    </row>
    <row r="28" spans="1:3">
      <c r="A28" s="11" t="s">
        <v>132</v>
      </c>
      <c r="B28" s="10">
        <f>-'Note 3-5'!E15+'Note 3-5'!E23</f>
        <v>8.46</v>
      </c>
      <c r="C28" s="10">
        <v>6.7</v>
      </c>
    </row>
    <row r="29" spans="1:3">
      <c r="A29" s="11" t="s">
        <v>133</v>
      </c>
      <c r="B29" s="10">
        <f>-'Note 3-5'!B62</f>
        <v>-21.44</v>
      </c>
      <c r="C29" s="10">
        <v>-19.09</v>
      </c>
    </row>
    <row r="30" spans="1:3">
      <c r="A30" s="11" t="s">
        <v>134</v>
      </c>
      <c r="B30" s="10">
        <f>-(BS!C13-BS!D13)-0.47</f>
        <v>-33.309999999999974</v>
      </c>
      <c r="C30" s="10">
        <v>0</v>
      </c>
    </row>
    <row r="31" spans="1:3">
      <c r="A31" s="11" t="s">
        <v>135</v>
      </c>
      <c r="B31" s="10">
        <f>'Note 20-27'!B21</f>
        <v>29.57</v>
      </c>
      <c r="C31" s="10">
        <v>21.25</v>
      </c>
    </row>
    <row r="32" spans="1:3">
      <c r="A32" s="12" t="s">
        <v>136</v>
      </c>
      <c r="B32" s="13">
        <f>SUM(B27:B31)</f>
        <v>-216.67999999999995</v>
      </c>
      <c r="C32" s="13">
        <f>SUM(C27:C31)</f>
        <v>-175.89</v>
      </c>
    </row>
    <row r="34" spans="1:3">
      <c r="A34" s="7" t="s">
        <v>137</v>
      </c>
    </row>
    <row r="35" spans="1:3">
      <c r="A35" s="11" t="s">
        <v>138</v>
      </c>
      <c r="B35" s="10">
        <f>'Note 12-13'!C17+'Note 12-13'!B35</f>
        <v>500.0</v>
      </c>
      <c r="C35" s="10">
        <v>0</v>
      </c>
    </row>
    <row r="36" spans="1:3">
      <c r="A36" s="11" t="s">
        <v>139</v>
      </c>
      <c r="B36" s="10">
        <f>'Note 14-19'!B29+'Note 14-19'!C29</f>
        <v>95.69</v>
      </c>
      <c r="C36" s="10">
        <v>97.17</v>
      </c>
    </row>
    <row r="37" spans="1:3">
      <c r="A37" s="11" t="s">
        <v>140</v>
      </c>
      <c r="B37" s="10">
        <f>'Note 14-19'!B30+'Note 14-19'!C30</f>
        <v>-113.02</v>
      </c>
      <c r="C37" s="10">
        <v>-104.17</v>
      </c>
    </row>
    <row r="38" spans="1:3">
      <c r="A38" s="11" t="s">
        <v>141</v>
      </c>
      <c r="B38" s="10">
        <f>'Note 14-19'!B41+'Note 14-19'!B40</f>
        <v>-45.519999999999996</v>
      </c>
      <c r="C38" s="10">
        <v>-59.5</v>
      </c>
    </row>
    <row r="39" spans="1:3">
      <c r="A39" s="11" t="s">
        <v>142</v>
      </c>
      <c r="B39" s="10">
        <f>-'Note 14-19'!B40</f>
        <v>-16.46</v>
      </c>
      <c r="C39" s="10">
        <v>-21.52</v>
      </c>
    </row>
    <row r="40" spans="1:3">
      <c r="A40" s="11" t="s">
        <v>143</v>
      </c>
      <c r="B40" s="10">
        <f>-('Note 20-27'!B35+'Note 20-27'!B36-'Note 14-19'!C31)</f>
        <v>-30.060000000000002</v>
      </c>
      <c r="C40" s="10">
        <v>-38.95</v>
      </c>
    </row>
    <row r="41" spans="1:3">
      <c r="A41" s="12" t="s">
        <v>144</v>
      </c>
      <c r="B41" s="13">
        <f>SUM(B35:B40)</f>
        <v>390.63</v>
      </c>
      <c r="C41" s="13">
        <f>SUM(C35:C40)</f>
        <v>-126.97</v>
      </c>
    </row>
    <row r="43" spans="1:3">
      <c r="A43" s="12" t="s">
        <v>145</v>
      </c>
      <c r="B43" s="13">
        <f>B24+B32+B41</f>
        <v>769.822</v>
      </c>
      <c r="C43" s="13">
        <f>C24+C32+C41</f>
        <v>87.22999999999999</v>
      </c>
    </row>
    <row r="44" spans="1:3">
      <c r="A44" s="8" t="s">
        <v>146</v>
      </c>
      <c r="B44" s="10">
        <f>C45</f>
        <v>600.95</v>
      </c>
      <c r="C44" s="10">
        <v>513.71</v>
      </c>
    </row>
    <row r="45" spans="1:3">
      <c r="A45" s="12" t="s">
        <v>147</v>
      </c>
      <c r="B45" s="14">
        <f>SUM(B43:B44)</f>
        <v>1370.772</v>
      </c>
      <c r="C45" s="14">
        <f>SUM(C43:C44)+0.01</f>
        <v>600.95</v>
      </c>
    </row>
    <row r="47" spans="1:3">
      <c r="A47" s="12" t="s">
        <v>148</v>
      </c>
    </row>
    <row r="48" spans="1:3">
      <c r="A48" s="11" t="s">
        <v>149</v>
      </c>
      <c r="B48" s="10">
        <f>'Note 6-11'!B65</f>
        <v>1371.98</v>
      </c>
      <c r="C48" s="10">
        <f>'Note 6-11'!C63</f>
        <v>599.25</v>
      </c>
    </row>
    <row r="49" spans="1:3">
      <c r="A49" s="11" t="s">
        <v>150</v>
      </c>
      <c r="B49" s="10">
        <v>0</v>
      </c>
      <c r="C49" s="10">
        <f>'Note 6-11'!C64</f>
        <v>1.66</v>
      </c>
    </row>
    <row r="50" spans="1:3">
      <c r="A50" s="12" t="s">
        <v>151</v>
      </c>
      <c r="B50" s="13">
        <f>SUM(B48:B49)</f>
        <v>1371.98</v>
      </c>
      <c r="C50" s="13">
        <f>SUM(C48:C49)</f>
        <v>600.91</v>
      </c>
    </row>
    <row r="52" spans="1:3">
      <c r="A52" s="3" t="s">
        <v>152</v>
      </c>
    </row>
    <row r="54" spans="1:3">
      <c r="A54" s="3" t="s">
        <v>51</v>
      </c>
    </row>
    <row r="56" spans="1:3">
      <c r="A56" s="16" t="s">
        <v>52</v>
      </c>
      <c r="B56" s="16" t="s">
        <v>53</v>
      </c>
    </row>
    <row r="57" spans="1:3">
      <c r="A57" s="7" t="s">
        <v>54</v>
      </c>
      <c r="B57" s="7" t="s">
        <v>0</v>
      </c>
    </row>
    <row r="58" spans="1:3">
      <c r="A58" s="16" t="s">
        <v>55</v>
      </c>
      <c r="B58" s="16" t="s">
        <v>56</v>
      </c>
    </row>
    <row r="59" spans="1:3">
      <c r="A59" s="16" t="s">
        <v>57</v>
      </c>
    </row>
    <row r="62" spans="1:3">
      <c r="A62" s="7" t="s">
        <v>58</v>
      </c>
      <c r="B62" s="7" t="s">
        <v>59</v>
      </c>
      <c r="C62" s="7" t="s">
        <v>60</v>
      </c>
    </row>
    <row r="63" spans="1:3">
      <c r="A63" s="16" t="s">
        <v>61</v>
      </c>
      <c r="B63" s="16" t="s">
        <v>62</v>
      </c>
      <c r="C63" s="16" t="s">
        <v>62</v>
      </c>
    </row>
    <row r="64" spans="1:3">
      <c r="A64" s="16" t="s">
        <v>63</v>
      </c>
      <c r="B64" s="16" t="s">
        <v>64</v>
      </c>
      <c r="C64" s="16" t="s">
        <v>153</v>
      </c>
    </row>
    <row r="66" spans="1:2">
      <c r="A66" s="16" t="s">
        <v>66</v>
      </c>
      <c r="B66" s="16" t="s">
        <v>66</v>
      </c>
    </row>
    <row r="67" spans="1:2">
      <c r="A67" s="16" t="s">
        <v>67</v>
      </c>
      <c r="B67" s="16" t="s">
        <v>154</v>
      </c>
    </row>
  </sheetData>
  <pageMargins left="0.5" right="0.5" top="0.6" bottom="0.6" header="0.3" footer="0.3"/>
  <pageSetup paperSize="9" fitToHeight="0" orientation="portrait"/>
</worksheet>
</file>

<file path=xl/worksheets/sheet5.xml><?xml version="1.0" encoding="utf-8"?>
<worksheet xmlns="http://schemas.openxmlformats.org/spreadsheetml/2006/main" xmlns:r="http://schemas.openxmlformats.org/officeDocument/2006/relationships">
  <sheetPr>
    <pageSetUpPr fitToPage="1"/>
  </sheetPr>
  <dimension ref="A1:A19"/>
  <sheetViews>
    <sheetView showGridLines="0" tabSelected="1" workbookViewId="0"/>
  </sheetViews>
  <sheetFormatPr defaultRowHeight="15"/>
  <cols>
    <col min="1" max="1" width="92.7109375" customWidth="1"/>
    <col min="2" max="2" width="2.7109375" customWidth="1"/>
  </cols>
  <sheetData>
    <row r="1" spans="1:1">
      <c r="A1" s="1" t="s">
        <v>0</v>
      </c>
    </row>
    <row r="2" spans="1:1">
      <c r="A2" s="2" t="s">
        <v>155</v>
      </c>
    </row>
    <row r="3" spans="1:1">
      <c r="A3" s="3" t="s">
        <v>2</v>
      </c>
    </row>
    <row r="5" spans="1:1">
      <c r="A5" s="7" t="s">
        <v>156</v>
      </c>
    </row>
    <row r="6" spans="1:1" ht="61" customHeight="1">
      <c r="A6" s="18" t="s">
        <v>157</v>
      </c>
    </row>
    <row r="8" spans="1:1">
      <c r="A8" s="7" t="s">
        <v>158</v>
      </c>
    </row>
    <row r="9" spans="1:1" ht="49.4" customHeight="1">
      <c r="A9" s="18" t="s">
        <v>159</v>
      </c>
    </row>
    <row r="10" spans="1:1" ht="37.8" customHeight="1">
      <c r="A10" s="18" t="s">
        <v>160</v>
      </c>
    </row>
    <row r="11" spans="1:1" ht="37.8" customHeight="1">
      <c r="A11" s="18" t="s">
        <v>161</v>
      </c>
    </row>
    <row r="12" spans="1:1" ht="37.8" customHeight="1">
      <c r="A12" s="18" t="s">
        <v>162</v>
      </c>
    </row>
    <row r="13" spans="1:1" ht="26.2" customHeight="1">
      <c r="A13" s="18" t="s">
        <v>163</v>
      </c>
    </row>
    <row r="14" spans="1:1" ht="37.8" customHeight="1">
      <c r="A14" s="18" t="s">
        <v>164</v>
      </c>
    </row>
    <row r="15" spans="1:1" ht="37.8" customHeight="1">
      <c r="A15" s="18" t="s">
        <v>165</v>
      </c>
    </row>
    <row r="16" spans="1:1" ht="37.8" customHeight="1">
      <c r="A16" s="18" t="s">
        <v>166</v>
      </c>
    </row>
    <row r="17" spans="1:1" ht="26.2" customHeight="1">
      <c r="A17" s="18" t="s">
        <v>167</v>
      </c>
    </row>
    <row r="18" spans="1:1" ht="37.8" customHeight="1">
      <c r="A18" s="18" t="s">
        <v>168</v>
      </c>
    </row>
    <row r="19" spans="1:1" ht="14.6" customHeight="1">
      <c r="A19" s="18" t="s">
        <v>169</v>
      </c>
    </row>
  </sheetData>
  <pageMargins left="0.5" right="0.5" top="0.6" bottom="0.6" header="0.3" footer="0.3"/>
  <pageSetup paperSize="9" fitToHeight="0" orientation="portrait"/>
</worksheet>
</file>

<file path=xl/worksheets/sheet6.xml><?xml version="1.0" encoding="utf-8"?>
<worksheet xmlns="http://schemas.openxmlformats.org/spreadsheetml/2006/main" xmlns:r="http://schemas.openxmlformats.org/officeDocument/2006/relationships">
  <sheetPr>
    <pageSetUpPr fitToPage="1"/>
  </sheetPr>
  <dimension ref="A1:E72"/>
  <sheetViews>
    <sheetView showGridLines="0" tabSelected="1" workbookViewId="0"/>
  </sheetViews>
  <sheetFormatPr defaultRowHeight="15"/>
  <cols>
    <col min="1" max="1" width="54.7109375" customWidth="1"/>
    <col min="2" max="5" width="15.7109375" customWidth="1"/>
  </cols>
  <sheetData>
    <row r="1" spans="1:5">
      <c r="A1" s="1" t="s">
        <v>0</v>
      </c>
    </row>
    <row r="2" spans="1:5">
      <c r="A2" s="2" t="s">
        <v>155</v>
      </c>
    </row>
    <row r="3" spans="1:5">
      <c r="A3" s="3" t="s">
        <v>2</v>
      </c>
    </row>
    <row r="5" spans="1:5">
      <c r="A5" s="7" t="s">
        <v>170</v>
      </c>
    </row>
    <row r="6" spans="1:5">
      <c r="A6" s="12" t="s">
        <v>9</v>
      </c>
    </row>
    <row r="7" spans="1:5" ht="26" customHeight="1">
      <c r="A7" s="4" t="s">
        <v>3</v>
      </c>
      <c r="B7" s="6" t="s">
        <v>171</v>
      </c>
      <c r="C7" s="6" t="s">
        <v>172</v>
      </c>
      <c r="D7" s="6" t="s">
        <v>173</v>
      </c>
      <c r="E7" s="6" t="s">
        <v>174</v>
      </c>
    </row>
    <row r="8" spans="1:5">
      <c r="A8" s="7" t="s">
        <v>175</v>
      </c>
    </row>
    <row r="9" spans="1:5">
      <c r="A9" s="8" t="s">
        <v>103</v>
      </c>
      <c r="B9" s="10">
        <f>FAR!B6/100000</f>
        <v>397.8</v>
      </c>
      <c r="C9" s="10">
        <f>FAR!B7/100000</f>
        <v>161.15</v>
      </c>
      <c r="D9" s="10">
        <f>FAR!B8/100000</f>
        <v>94.08</v>
      </c>
      <c r="E9" s="10">
        <f t="shared" ref="E9:E11" si="0">SUM(B9:D9)</f>
        <v>653.03</v>
      </c>
    </row>
    <row r="10" spans="1:5">
      <c r="A10" s="8" t="s">
        <v>176</v>
      </c>
      <c r="B10" s="10">
        <f>FAR!C6/100000</f>
        <v>141.88</v>
      </c>
      <c r="C10" s="10">
        <f>FAR!C7/100000</f>
        <v>27.01</v>
      </c>
      <c r="D10" s="10">
        <f>FAR!C8/100000</f>
        <v>17.7</v>
      </c>
      <c r="E10" s="10">
        <f t="shared" si="0"/>
        <v>186.59</v>
      </c>
    </row>
    <row r="11" spans="1:5">
      <c r="A11" s="8" t="s">
        <v>177</v>
      </c>
      <c r="B11" s="10">
        <f>-FAR!D6/100000</f>
        <v>-15.91</v>
      </c>
      <c r="C11" s="10">
        <f>-FAR!D7/100000</f>
        <v>-6.45</v>
      </c>
      <c r="D11" s="10">
        <f>-FAR!D8/100000</f>
        <v>-0.0</v>
      </c>
      <c r="E11" s="10">
        <f t="shared" si="0"/>
        <v>-22.36</v>
      </c>
    </row>
    <row r="12" spans="1:5">
      <c r="A12" s="12" t="s">
        <v>108</v>
      </c>
      <c r="B12" s="13">
        <f>SUM(B9:B11)</f>
        <v>523.77</v>
      </c>
      <c r="C12" s="13">
        <f>SUM(C9:C11)</f>
        <v>181.71</v>
      </c>
      <c r="D12" s="13">
        <f>SUM(D9:D11)</f>
        <v>111.78</v>
      </c>
      <c r="E12" s="13">
        <f>SUM(E9:E11)</f>
        <v>817.26</v>
      </c>
    </row>
    <row r="13" spans="1:5">
      <c r="A13" s="8" t="s">
        <v>178</v>
      </c>
      <c r="B13" s="10">
        <f>B12</f>
        <v>523.77</v>
      </c>
      <c r="C13" s="10">
        <f>C12</f>
        <v>181.71</v>
      </c>
      <c r="D13" s="10">
        <f>D12</f>
        <v>111.78</v>
      </c>
      <c r="E13" s="10">
        <f>SUM(B13:D13)</f>
        <v>817.26</v>
      </c>
    </row>
    <row r="14" spans="1:5">
      <c r="A14" s="8" t="s">
        <v>176</v>
      </c>
      <c r="B14" s="10">
        <f>FAR!C12/100000</f>
        <v>143.27</v>
      </c>
      <c r="C14" s="10">
        <f>FAR!C13/100000</f>
        <v>34.95</v>
      </c>
      <c r="D14" s="10">
        <f>FAR!C14/100000</f>
        <v>19.46</v>
      </c>
      <c r="E14" s="10">
        <v>197.67</v>
      </c>
    </row>
    <row r="15" spans="1:5">
      <c r="A15" s="8" t="s">
        <v>177</v>
      </c>
      <c r="B15" s="10">
        <f>-FAR!D12/100000</f>
        <v>-20.95</v>
      </c>
      <c r="C15" s="10">
        <f>-FAR!D13/100000</f>
        <v>-7.27</v>
      </c>
      <c r="D15" s="10">
        <f>-FAR!D14/100000</f>
        <v>-0.0</v>
      </c>
      <c r="E15" s="10">
        <f>SUM(B15:D15)</f>
        <v>-28.22</v>
      </c>
    </row>
    <row r="16" spans="1:5">
      <c r="A16" s="12" t="s">
        <v>109</v>
      </c>
      <c r="B16" s="13">
        <f>SUM(B13:B15)</f>
        <v>646.09</v>
      </c>
      <c r="C16" s="13">
        <f>SUM(C13:C15)</f>
        <v>209.39000000000001</v>
      </c>
      <c r="D16" s="13">
        <f>SUM(D13:D15)</f>
        <v>131.24</v>
      </c>
      <c r="E16" s="13">
        <f>SUM(E13:E15)</f>
        <v>986.71</v>
      </c>
    </row>
    <row r="17" spans="1:5">
      <c r="A17" s="7" t="s">
        <v>179</v>
      </c>
    </row>
    <row r="18" spans="1:5">
      <c r="A18" s="8" t="s">
        <v>103</v>
      </c>
      <c r="B18" s="10">
        <f>FAR!F6/100000</f>
        <v>183.06</v>
      </c>
      <c r="C18" s="10">
        <f>FAR!F7/100000</f>
        <v>50.54</v>
      </c>
      <c r="D18" s="10">
        <f>FAR!F8/100000</f>
        <v>33.59</v>
      </c>
      <c r="E18" s="10">
        <f t="shared" ref="E18:E20" si="1">SUM(B18:D18)</f>
        <v>267.19</v>
      </c>
    </row>
    <row r="19" spans="1:5">
      <c r="A19" s="8" t="s">
        <v>180</v>
      </c>
      <c r="B19" s="10">
        <f>FAR!G6/100000</f>
        <v>68.57</v>
      </c>
      <c r="C19" s="10">
        <f>FAR!G7/100000</f>
        <v>8.73</v>
      </c>
      <c r="D19" s="10">
        <f>FAR!G8/100000</f>
        <v>10.29</v>
      </c>
      <c r="E19" s="10">
        <f t="shared" si="1"/>
        <v>87.58999999999999</v>
      </c>
    </row>
    <row r="20" spans="1:5">
      <c r="A20" s="8" t="s">
        <v>177</v>
      </c>
      <c r="B20" s="10">
        <f>-FAR!H6/100000</f>
        <v>-11.14</v>
      </c>
      <c r="C20" s="10">
        <f>-FAR!H7/100000</f>
        <v>-4.52</v>
      </c>
      <c r="D20" s="10">
        <f>-FAR!H8/100000</f>
        <v>-0.0</v>
      </c>
      <c r="E20" s="10">
        <f t="shared" si="1"/>
        <v>-15.66</v>
      </c>
    </row>
    <row r="21" spans="1:5">
      <c r="A21" s="12" t="s">
        <v>108</v>
      </c>
      <c r="B21" s="13">
        <f>SUM(B18:B20)</f>
        <v>240.49</v>
      </c>
      <c r="C21" s="13">
        <f>SUM(C18:C20)</f>
        <v>54.75</v>
      </c>
      <c r="D21" s="13">
        <f>SUM(D18:D20)</f>
        <v>43.88</v>
      </c>
      <c r="E21" s="13">
        <f>SUM(E18:E20)</f>
        <v>339.12</v>
      </c>
    </row>
    <row r="22" spans="1:5">
      <c r="A22" s="8" t="s">
        <v>180</v>
      </c>
      <c r="B22" s="10">
        <f>FAR!G12/100000</f>
        <v>87.45</v>
      </c>
      <c r="C22" s="10">
        <f>FAR!G13/100000</f>
        <v>9.96</v>
      </c>
      <c r="D22" s="10">
        <f>FAR!G14/100000</f>
        <v>12.15</v>
      </c>
      <c r="E22" s="10">
        <f>SUM(B22:D22)</f>
        <v>109.56</v>
      </c>
    </row>
    <row r="23" spans="1:5">
      <c r="A23" s="8" t="s">
        <v>177</v>
      </c>
      <c r="B23" s="10">
        <f>-FAR!H12/100000</f>
        <v>-14.67</v>
      </c>
      <c r="C23" s="10">
        <f>-FAR!H13/100000</f>
        <v>-5.09</v>
      </c>
      <c r="D23" s="10">
        <f>-FAR!H14/100000</f>
        <v>-0.0</v>
      </c>
      <c r="E23" s="10">
        <f>SUM(B23:D23)</f>
        <v>-19.759999999999998</v>
      </c>
    </row>
    <row r="24" spans="1:5">
      <c r="A24" s="12" t="s">
        <v>109</v>
      </c>
      <c r="B24" s="13">
        <f>SUM(B21:B23)</f>
        <v>313.27000000000004</v>
      </c>
      <c r="C24" s="13">
        <f>SUM(C21:C23)</f>
        <v>59.620000000000005</v>
      </c>
      <c r="D24" s="13">
        <f>SUM(D21:D23)</f>
        <v>56.03</v>
      </c>
      <c r="E24" s="13">
        <f>SUM(E21:E23)</f>
        <v>428.92</v>
      </c>
    </row>
    <row r="25" spans="1:5">
      <c r="A25" s="7" t="s">
        <v>181</v>
      </c>
    </row>
    <row r="26" spans="1:5">
      <c r="A26" s="12" t="s">
        <v>182</v>
      </c>
      <c r="B26" s="13">
        <f>B12-B21</f>
        <v>283.28</v>
      </c>
      <c r="C26" s="13">
        <f>C12-C21</f>
        <v>126.96000000000001</v>
      </c>
      <c r="D26" s="13">
        <f>D12-D21</f>
        <v>67.9</v>
      </c>
      <c r="E26" s="13">
        <f>E12-E21</f>
        <v>478.14</v>
      </c>
    </row>
    <row r="27" spans="1:5">
      <c r="A27" s="12" t="s">
        <v>183</v>
      </c>
      <c r="B27" s="13">
        <f>B16-B24</f>
        <v>332.82</v>
      </c>
      <c r="C27" s="13">
        <f>C16-C24</f>
        <v>149.77</v>
      </c>
      <c r="D27" s="13">
        <f>D16-D24</f>
        <v>75.21000000000001</v>
      </c>
      <c r="E27" s="13">
        <f>E16-E24</f>
        <v>557.79</v>
      </c>
    </row>
    <row r="29" spans="1:5">
      <c r="A29" s="12" t="s">
        <v>10</v>
      </c>
    </row>
    <row r="30" spans="1:5">
      <c r="A30" s="8" t="s">
        <v>103</v>
      </c>
      <c r="B30" s="10">
        <f>FAR!B26/100000</f>
        <v>10.41</v>
      </c>
    </row>
    <row r="31" spans="1:5">
      <c r="A31" s="8" t="s">
        <v>176</v>
      </c>
      <c r="B31" s="10">
        <f>FAR!C26/100000</f>
        <v>21.42</v>
      </c>
    </row>
    <row r="32" spans="1:5">
      <c r="A32" s="8" t="s">
        <v>184</v>
      </c>
      <c r="B32" s="10">
        <f>-FAR!D26/100000</f>
        <v>-23.26</v>
      </c>
    </row>
    <row r="33" spans="1:2">
      <c r="A33" s="12" t="s">
        <v>108</v>
      </c>
      <c r="B33" s="13">
        <f>SUM(B30:B32)</f>
        <v>8.57</v>
      </c>
    </row>
    <row r="34" spans="1:2">
      <c r="A34" s="8" t="s">
        <v>176</v>
      </c>
      <c r="B34" s="10">
        <f>FAR!C27/100000</f>
        <v>27.15</v>
      </c>
    </row>
    <row r="35" spans="1:2">
      <c r="A35" s="8" t="s">
        <v>184</v>
      </c>
      <c r="B35" s="10">
        <f>-FAR!D27/100000</f>
        <v>-24.86</v>
      </c>
    </row>
    <row r="36" spans="1:2">
      <c r="A36" s="12" t="s">
        <v>176</v>
      </c>
      <c r="B36" s="13">
        <f>SUM(B33:B35)</f>
        <v>10.86</v>
      </c>
    </row>
    <row r="38" spans="1:2">
      <c r="A38" s="7" t="s">
        <v>185</v>
      </c>
    </row>
    <row r="39" spans="1:2" ht="26" customHeight="1">
      <c r="A39" s="4" t="s">
        <v>3</v>
      </c>
      <c r="B39" s="6" t="s">
        <v>186</v>
      </c>
    </row>
    <row r="40" spans="1:2">
      <c r="A40" s="7" t="s">
        <v>175</v>
      </c>
    </row>
    <row r="41" spans="1:2">
      <c r="A41" s="8" t="s">
        <v>103</v>
      </c>
      <c r="B41" s="10">
        <f>FAR!B18/100000</f>
        <v>360.8</v>
      </c>
    </row>
    <row r="42" spans="1:2">
      <c r="A42" s="8" t="s">
        <v>176</v>
      </c>
      <c r="B42" s="10">
        <f>FAR!C18/100000</f>
        <v>0.0</v>
      </c>
    </row>
    <row r="43" spans="1:2">
      <c r="A43" s="12" t="s">
        <v>108</v>
      </c>
      <c r="B43" s="13">
        <f>SUM(B41:B42)</f>
        <v>360.8</v>
      </c>
    </row>
    <row r="44" spans="1:2">
      <c r="A44" s="8" t="s">
        <v>176</v>
      </c>
      <c r="B44" s="10">
        <f>FAR!C19/100000</f>
        <v>42.53</v>
      </c>
    </row>
    <row r="45" spans="1:2">
      <c r="A45" s="12" t="s">
        <v>109</v>
      </c>
      <c r="B45" s="13">
        <f>SUM(B43:B44)</f>
        <v>403.33000000000004</v>
      </c>
    </row>
    <row r="46" spans="1:2">
      <c r="A46" s="7" t="s">
        <v>187</v>
      </c>
    </row>
    <row r="47" spans="1:2">
      <c r="A47" s="8" t="s">
        <v>103</v>
      </c>
      <c r="B47" s="10">
        <f>FAR!F18/100000</f>
        <v>103.35</v>
      </c>
    </row>
    <row r="48" spans="1:2">
      <c r="A48" s="8" t="s">
        <v>180</v>
      </c>
      <c r="B48" s="10">
        <f>FAR!G18/100000</f>
        <v>57.73</v>
      </c>
    </row>
    <row r="49" spans="1:2">
      <c r="A49" s="12" t="s">
        <v>108</v>
      </c>
      <c r="B49" s="13">
        <f>SUM(B47:B48)</f>
        <v>161.07999999999998</v>
      </c>
    </row>
    <row r="50" spans="1:2">
      <c r="A50" s="8" t="s">
        <v>180</v>
      </c>
      <c r="B50" s="10">
        <f>FAR!G19/100000</f>
        <v>64.53</v>
      </c>
    </row>
    <row r="51" spans="1:2">
      <c r="A51" s="12" t="s">
        <v>109</v>
      </c>
      <c r="B51" s="13">
        <f>SUM(B49:B50)</f>
        <v>225.60999999999999</v>
      </c>
    </row>
    <row r="52" spans="1:2">
      <c r="A52" s="7" t="s">
        <v>181</v>
      </c>
    </row>
    <row r="53" spans="1:2">
      <c r="A53" s="12" t="s">
        <v>182</v>
      </c>
      <c r="B53" s="13">
        <f>B43-B49</f>
        <v>199.72000000000003</v>
      </c>
    </row>
    <row r="54" spans="1:2">
      <c r="A54" s="12" t="s">
        <v>183</v>
      </c>
      <c r="B54" s="13">
        <f>B45-B51</f>
        <v>177.72000000000006</v>
      </c>
    </row>
    <row r="56" spans="1:2">
      <c r="A56" s="7" t="s">
        <v>188</v>
      </c>
    </row>
    <row r="57" spans="1:2" ht="26" customHeight="1">
      <c r="A57" s="4" t="s">
        <v>3</v>
      </c>
      <c r="B57" s="6" t="s">
        <v>189</v>
      </c>
    </row>
    <row r="58" spans="1:2">
      <c r="A58" s="7" t="s">
        <v>175</v>
      </c>
    </row>
    <row r="59" spans="1:2">
      <c r="A59" s="8" t="s">
        <v>103</v>
      </c>
      <c r="B59" s="10">
        <f>FAR!B22/100000</f>
        <v>78.41</v>
      </c>
    </row>
    <row r="60" spans="1:2">
      <c r="A60" s="8" t="s">
        <v>176</v>
      </c>
      <c r="B60" s="10">
        <f>FAR!C22/100000</f>
        <v>19.09</v>
      </c>
    </row>
    <row r="61" spans="1:2">
      <c r="A61" s="12" t="s">
        <v>108</v>
      </c>
      <c r="B61" s="13">
        <f>SUM(B59:B60)</f>
        <v>97.5</v>
      </c>
    </row>
    <row r="62" spans="1:2">
      <c r="A62" s="8" t="s">
        <v>176</v>
      </c>
      <c r="B62" s="10">
        <f>FAR!C23/100000</f>
        <v>21.44</v>
      </c>
    </row>
    <row r="63" spans="1:2">
      <c r="A63" s="12" t="s">
        <v>109</v>
      </c>
      <c r="B63" s="13">
        <f>SUM(B61:B62)</f>
        <v>118.94</v>
      </c>
    </row>
    <row r="64" spans="1:2">
      <c r="A64" s="7" t="s">
        <v>187</v>
      </c>
    </row>
    <row r="65" spans="1:2">
      <c r="A65" s="8" t="s">
        <v>103</v>
      </c>
      <c r="B65" s="10">
        <f>FAR!F22/100000</f>
        <v>26.13</v>
      </c>
    </row>
    <row r="66" spans="1:2">
      <c r="A66" s="8" t="s">
        <v>180</v>
      </c>
      <c r="B66" s="10">
        <f>FAR!G22/100000</f>
        <v>17.55</v>
      </c>
    </row>
    <row r="67" spans="1:2">
      <c r="A67" s="12" t="s">
        <v>108</v>
      </c>
      <c r="B67" s="13">
        <f>SUM(B65:B66)</f>
        <v>43.68</v>
      </c>
    </row>
    <row r="68" spans="1:2">
      <c r="A68" s="8" t="s">
        <v>180</v>
      </c>
      <c r="B68" s="10">
        <f>FAR!G23/100000</f>
        <v>21.41</v>
      </c>
    </row>
    <row r="69" spans="1:2">
      <c r="A69" s="12" t="s">
        <v>109</v>
      </c>
      <c r="B69" s="13">
        <f>SUM(B67:B68)</f>
        <v>65.09</v>
      </c>
    </row>
    <row r="70" spans="1:2">
      <c r="A70" s="7" t="s">
        <v>181</v>
      </c>
    </row>
    <row r="71" spans="1:2">
      <c r="A71" s="12" t="s">
        <v>182</v>
      </c>
      <c r="B71" s="13">
        <f>B61-B67</f>
        <v>53.82</v>
      </c>
    </row>
    <row r="72" spans="1:2">
      <c r="A72" s="12" t="s">
        <v>183</v>
      </c>
      <c r="B72" s="13">
        <f>B63-B69</f>
        <v>53.849999999999994</v>
      </c>
    </row>
  </sheetData>
  <pageMargins left="0.5" right="0.5" top="0.6" bottom="0.6" header="0.3" footer="0.3"/>
  <pageSetup paperSize="9" fitToHeight="0" orientation="portrait"/>
</worksheet>
</file>

<file path=xl/worksheets/sheet7.xml><?xml version="1.0" encoding="utf-8"?>
<worksheet xmlns="http://schemas.openxmlformats.org/spreadsheetml/2006/main" xmlns:r="http://schemas.openxmlformats.org/officeDocument/2006/relationships">
  <sheetPr>
    <pageSetUpPr fitToPage="1"/>
  </sheetPr>
  <dimension ref="A1:H65"/>
  <sheetViews>
    <sheetView showGridLines="0" tabSelected="1" workbookViewId="0"/>
  </sheetViews>
  <sheetFormatPr defaultRowHeight="15"/>
  <cols>
    <col min="1" max="1" width="54.7109375" customWidth="1"/>
    <col min="2" max="3" width="15.7109375" customWidth="1"/>
    <col min="4" max="8" width="15.28515625" customWidth="1"/>
  </cols>
  <sheetData>
    <row r="1" spans="1:3">
      <c r="A1" s="1" t="s">
        <v>0</v>
      </c>
    </row>
    <row r="2" spans="1:3">
      <c r="A2" s="2" t="s">
        <v>155</v>
      </c>
    </row>
    <row r="3" spans="1:3">
      <c r="A3" s="3" t="s">
        <v>2</v>
      </c>
    </row>
    <row r="5" spans="1:3">
      <c r="A5" s="7" t="s">
        <v>190</v>
      </c>
    </row>
    <row r="6" spans="1:3" ht="26" customHeight="1">
      <c r="A6" s="4" t="s">
        <v>3</v>
      </c>
      <c r="B6" s="6" t="s">
        <v>5</v>
      </c>
      <c r="C6" s="6" t="s">
        <v>6</v>
      </c>
    </row>
    <row r="7" spans="1:3">
      <c r="A7" s="12" t="s">
        <v>191</v>
      </c>
    </row>
    <row r="8" spans="1:3">
      <c r="A8" s="8" t="s">
        <v>192</v>
      </c>
      <c r="B8" s="10">
        <f>SUMIF(NS_TB_FT27!$H$5:$H$82,"inv.nc.subsidiary",NS_TB_FT27!$I$5:$I$82)/100000</f>
        <v>282.84</v>
      </c>
      <c r="C8" s="10">
        <f>SUMIF(NS_TB_FT27!$H$5:$H$82,"inv.nc.subsidiary",NS_TB_FT27!$J$5:$J$82)/100000</f>
        <v>250.0</v>
      </c>
    </row>
    <row r="9" spans="1:3">
      <c r="A9" s="12" t="s">
        <v>193</v>
      </c>
      <c r="B9" s="13">
        <f>B8</f>
        <v>282.84</v>
      </c>
      <c r="C9" s="13">
        <f>C8</f>
        <v>250.0</v>
      </c>
    </row>
    <row r="10" spans="1:3">
      <c r="A10" s="8" t="s">
        <v>194</v>
      </c>
      <c r="B10" s="10">
        <f>B9</f>
        <v>282.84</v>
      </c>
      <c r="C10" s="10">
        <f>C9</f>
        <v>250.0</v>
      </c>
    </row>
    <row r="12" spans="1:3">
      <c r="A12" s="7" t="s">
        <v>195</v>
      </c>
    </row>
    <row r="13" spans="1:3" ht="26" customHeight="1">
      <c r="A13" s="4" t="s">
        <v>3</v>
      </c>
      <c r="B13" s="6" t="s">
        <v>5</v>
      </c>
      <c r="C13" s="6" t="s">
        <v>6</v>
      </c>
    </row>
    <row r="14" spans="1:3">
      <c r="A14" s="12" t="s">
        <v>196</v>
      </c>
    </row>
    <row r="15" spans="1:3">
      <c r="A15" s="8" t="s">
        <v>197</v>
      </c>
      <c r="B15" s="10">
        <f>SUMIF(NS_TB_FT27!$H$5:$H$82,"ofa.nc.security_deposits",NS_TB_FT27!$I$5:$I$82)/100000</f>
        <v>53.44</v>
      </c>
      <c r="C15" s="10">
        <f>SUMIF(NS_TB_FT27!$H$5:$H$82,"ofa.nc.security_deposits",NS_TB_FT27!$J$5:$J$82)/100000</f>
        <v>46.95</v>
      </c>
    </row>
    <row r="16" spans="1:3">
      <c r="A16" s="12" t="s">
        <v>174</v>
      </c>
      <c r="B16" s="13">
        <f>B15</f>
        <v>53.44</v>
      </c>
      <c r="C16" s="13">
        <f>C15</f>
        <v>46.95</v>
      </c>
    </row>
    <row r="17" spans="1:3">
      <c r="A17" s="12" t="s">
        <v>198</v>
      </c>
      <c r="B17" s="10">
        <v>0.43</v>
      </c>
    </row>
    <row r="18" spans="1:3">
      <c r="A18" s="8" t="s">
        <v>199</v>
      </c>
      <c r="B18" s="10">
        <f>SUMIF(NS_TB_FT27!$H$5:$H$82,"ofa.c.interest_accrued",NS_TB_FT27!$I$5:$I$82)/100000</f>
        <v>0.0</v>
      </c>
      <c r="C18" s="10">
        <f>SUMIF(NS_TB_FT27!$H$5:$H$82,"ofa.c.interest_accrued",NS_TB_FT27!$J$5:$J$82)/100000</f>
        <v>0.0</v>
      </c>
    </row>
    <row r="19" spans="1:3">
      <c r="A19" s="8" t="s">
        <v>200</v>
      </c>
      <c r="B19" s="10">
        <f>SUMIF(NS_TB_FT27!$H$5:$H$82,"ofa.c.unbilled",NS_TB_FT27!$I$5:$I$82)/100000</f>
        <v>80.48</v>
      </c>
      <c r="C19" s="10">
        <f>SUMIF(NS_TB_FT27!$H$5:$H$82,"ofa.c.unbilled",NS_TB_FT27!$J$5:$J$82)/100000</f>
        <v>61.77</v>
      </c>
    </row>
    <row r="20" spans="1:3">
      <c r="A20" s="8" t="s">
        <v>201</v>
      </c>
      <c r="B20" s="10">
        <f>SUMIF(NS_TB_FT27!$H$5:$H$82,"ofa.c.recoverable_group",NS_TB_FT27!$I$5:$I$82)/100000</f>
        <v>31.0</v>
      </c>
      <c r="C20" s="10">
        <f>SUMIF(NS_TB_FT27!$H$5:$H$82,"ofa.c.recoverable_group",NS_TB_FT27!$J$5:$J$82)/100000</f>
        <v>25.1</v>
      </c>
    </row>
    <row r="21" spans="1:3">
      <c r="A21" s="12" t="s">
        <v>174</v>
      </c>
      <c r="B21" s="13">
        <f>SUM(B17:B20)</f>
        <v>111.91000000000001</v>
      </c>
      <c r="C21" s="13">
        <f>SUM(C18:C20)</f>
        <v>86.87</v>
      </c>
    </row>
    <row r="23" spans="1:3">
      <c r="A23" s="7" t="s">
        <v>202</v>
      </c>
    </row>
    <row r="24" spans="1:3" ht="26" customHeight="1">
      <c r="A24" s="4" t="s">
        <v>3</v>
      </c>
      <c r="B24" s="6" t="s">
        <v>70</v>
      </c>
      <c r="C24" s="6" t="s">
        <v>71</v>
      </c>
    </row>
    <row r="25" spans="1:3">
      <c r="A25" s="8" t="s">
        <v>203</v>
      </c>
      <c r="B25" s="10">
        <f>SUMIF(NS_TB_FT27!$H$5:$H$82,"dta",NS_TB_FT27!$J$5:$J$82)/100000</f>
        <v>43.9</v>
      </c>
      <c r="C25" s="10">
        <v>34.04</v>
      </c>
    </row>
    <row r="26" spans="1:3">
      <c r="A26" s="8" t="s">
        <v>204</v>
      </c>
      <c r="B26" s="10">
        <f>-SUMIF(NS_TB_FT27!$H$5:$H$82,"tax.deferred",NS_TB_FT27!$I$5:$I$82)/100000</f>
        <v>6.16</v>
      </c>
      <c r="C26" s="10">
        <f>-SUMIF(NS_TB_FT27!$H$5:$H$82,"tax.deferred",NS_TB_FT27!$J$5:$J$82)/100000</f>
        <v>8.22</v>
      </c>
    </row>
    <row r="27" spans="1:3">
      <c r="A27" s="8" t="s">
        <v>205</v>
      </c>
      <c r="B27" s="10">
        <f>SUMIF(NS_TB_FT27!$H$5:$H$82,"oci.tax",NS_TB_FT27!$I$5:$I$82)/100000</f>
        <v>-2.46</v>
      </c>
      <c r="C27" s="10">
        <f>SUMIF(NS_TB_FT27!$H$5:$H$82,"oci.tax",NS_TB_FT27!$J$5:$J$82)/100000</f>
        <v>-1.64</v>
      </c>
    </row>
    <row r="28" spans="1:3">
      <c r="A28" s="12" t="s">
        <v>206</v>
      </c>
      <c r="B28" s="13">
        <f>SUMIF(NS_TB_FT27!$H$5:$H$82,"dta",NS_TB_FT27!$I$5:$I$82)/100000</f>
        <v>52.52</v>
      </c>
      <c r="C28" s="13">
        <f>SUMIF(NS_TB_FT27!$H$5:$H$82,"dta",NS_TB_FT27!$J$5:$J$82)/100000</f>
        <v>43.9</v>
      </c>
    </row>
    <row r="30" spans="1:3">
      <c r="A30" s="7" t="s">
        <v>207</v>
      </c>
    </row>
    <row r="31" spans="1:3" ht="26" customHeight="1">
      <c r="A31" s="4" t="s">
        <v>3</v>
      </c>
      <c r="B31" s="6" t="s">
        <v>5</v>
      </c>
      <c r="C31" s="6" t="s">
        <v>6</v>
      </c>
    </row>
    <row r="32" spans="1:3">
      <c r="A32" s="12" t="s">
        <v>208</v>
      </c>
    </row>
    <row r="33" spans="1:3">
      <c r="A33" s="8" t="s">
        <v>209</v>
      </c>
      <c r="B33" s="10">
        <v>2.34</v>
      </c>
      <c r="C33" s="10">
        <f>SUMIF(NS_TB_FT27!$H$5:$H$82,"onca.capital_advances",NS_TB_FT27!$J$5:$J$82)/100000</f>
        <v>5.37</v>
      </c>
    </row>
    <row r="34" spans="1:3">
      <c r="A34" s="12" t="s">
        <v>174</v>
      </c>
      <c r="B34" s="13">
        <f>B33</f>
        <v>2.34</v>
      </c>
      <c r="C34" s="13">
        <f>C33</f>
        <v>5.37</v>
      </c>
    </row>
    <row r="35" spans="1:3">
      <c r="A35" s="12" t="s">
        <v>198</v>
      </c>
    </row>
    <row r="36" spans="1:3">
      <c r="A36" s="8" t="s">
        <v>210</v>
      </c>
      <c r="B36" s="10">
        <f>SUMIF(NS_TB_FT27!$H$5:$H$82,"oca.prepaid",NS_TB_FT27!$I$5:$I$82)/100000</f>
        <v>37.7</v>
      </c>
      <c r="C36" s="10">
        <f>SUMIF(NS_TB_FT27!$H$5:$H$82,"oca.prepaid",NS_TB_FT27!$J$5:$J$82)/100000</f>
        <v>35.1</v>
      </c>
    </row>
    <row r="37" spans="1:3">
      <c r="A37" s="8" t="s">
        <v>211</v>
      </c>
      <c r="B37" s="10">
        <f>SUMIF(NS_TB_FT27!$H$5:$H$82,"oca.govt_balances",NS_TB_FT27!$I$5:$I$82)/100000</f>
        <v>80.14</v>
      </c>
      <c r="C37" s="10">
        <f>SUMIF(NS_TB_FT27!$H$5:$H$82,"oca.govt_balances",NS_TB_FT27!$J$5:$J$82)/100000</f>
        <v>65.23</v>
      </c>
    </row>
    <row r="38" spans="1:3">
      <c r="A38" s="8" t="s">
        <v>212</v>
      </c>
      <c r="B38" s="10">
        <f>SUMIF(NS_TB_FT27!$H$5:$H$82,"oca.advances_suppliers",NS_TB_FT27!$I$5:$I$82)/100000</f>
        <v>3.39</v>
      </c>
      <c r="C38" s="10">
        <f>SUMIF(NS_TB_FT27!$H$5:$H$82,"oca.advances_suppliers",NS_TB_FT27!$J$5:$J$82)/100000</f>
        <v>7.88</v>
      </c>
    </row>
    <row r="39" spans="1:3">
      <c r="A39" s="12" t="s">
        <v>174</v>
      </c>
      <c r="B39" s="13">
        <f>SUM(B36:B38)</f>
        <v>121.23</v>
      </c>
      <c r="C39" s="13">
        <f>SUM(C36:C38)</f>
        <v>108.21000000000001</v>
      </c>
    </row>
    <row r="41" spans="1:3">
      <c r="A41" s="7" t="s">
        <v>213</v>
      </c>
    </row>
    <row r="42" spans="1:3" ht="26" customHeight="1">
      <c r="A42" s="4" t="s">
        <v>3</v>
      </c>
      <c r="B42" s="6" t="s">
        <v>5</v>
      </c>
      <c r="C42" s="6" t="s">
        <v>6</v>
      </c>
    </row>
    <row r="43" spans="1:3">
      <c r="A43" s="8" t="s">
        <v>214</v>
      </c>
      <c r="B43" s="10">
        <f>(SUMIF(NS_TB_FT27!$H$5:$H$82,"tr.good.third_party",NS_TB_FT27!$I$5:$I$82)+SUMIF(NS_TB_FT27!$H$5:$H$82,"tr.good.related",NS_TB_FT27!$I$5:$I$82))/100000</f>
        <v>754.95</v>
      </c>
      <c r="C43" s="10">
        <f>(SUMIF(NS_TB_FT27!$H$5:$H$82,"tr.good.third_party",NS_TB_FT27!$J$5:$J$82)+SUMIF(NS_TB_FT27!$H$5:$H$82,"tr.good.related",NS_TB_FT27!$J$5:$J$82))/100000</f>
        <v>586.21</v>
      </c>
    </row>
    <row r="44" spans="1:3">
      <c r="A44" s="8" t="s">
        <v>215</v>
      </c>
      <c r="B44" s="10">
        <f>SUMIF(NS_TB_FT27!$H$5:$H$82,"tr.impaired",NS_TB_FT27!$I$5:$I$82)/100000</f>
        <v>33.08</v>
      </c>
      <c r="C44" s="10">
        <f>SUMIF(NS_TB_FT27!$H$5:$H$82,"tr.impaired",NS_TB_FT27!$J$5:$J$82)/100000</f>
        <v>24.38</v>
      </c>
    </row>
    <row r="45" spans="1:3">
      <c r="A45" s="12" t="s">
        <v>174</v>
      </c>
      <c r="B45" s="13">
        <f>SUM(B43:B44)</f>
        <v>788.0300000000001</v>
      </c>
      <c r="C45" s="13">
        <f>SUM(C43:C44)</f>
        <v>610.59</v>
      </c>
    </row>
    <row r="46" spans="1:3">
      <c r="A46" s="8" t="s">
        <v>216</v>
      </c>
      <c r="B46" s="10">
        <f>SUMIF(NS_TB_FT27!$H$5:$H$82,"tr.allowance",NS_TB_FT27!$I$5:$I$82)/100000</f>
        <v>-32.21</v>
      </c>
      <c r="C46" s="10">
        <f>SUMIF(NS_TB_FT27!$H$5:$H$82,"tr.allowance",NS_TB_FT27!$J$5:$J$82)/100000</f>
        <v>-23.51</v>
      </c>
    </row>
    <row r="47" spans="1:3">
      <c r="A47" s="12" t="s">
        <v>217</v>
      </c>
      <c r="B47" s="13">
        <f>SUM(B45:B46)</f>
        <v>755.82</v>
      </c>
      <c r="C47" s="13">
        <f>SUM(C45:C46)</f>
        <v>587.08</v>
      </c>
    </row>
    <row r="48" spans="1:3">
      <c r="A48" s="11" t="s">
        <v>218</v>
      </c>
      <c r="B48" s="10">
        <f>SUMIF(NS_TB_FT27!$H$5:$H$82,"tr.good.related",NS_TB_FT27!$I$5:$I$82)/100000</f>
        <v>195.75</v>
      </c>
      <c r="C48" s="10">
        <f>SUMIF(NS_TB_FT27!$H$5:$H$82,"tr.good.related",NS_TB_FT27!$J$5:$J$82)/100000</f>
        <v>142.15</v>
      </c>
    </row>
    <row r="49" spans="1:8" ht="14.6" customHeight="1">
      <c r="A49" s="18" t="s">
        <v>219</v>
      </c>
      <c r="B49" s="18"/>
      <c r="C49" s="18"/>
    </row>
    <row r="50" spans="1:8">
      <c r="A50" s="12" t="s">
        <v>220</v>
      </c>
    </row>
    <row r="51" spans="1:8" ht="26" customHeight="1">
      <c r="A51" s="4" t="s">
        <v>3</v>
      </c>
      <c r="B51" s="6" t="s">
        <v>221</v>
      </c>
      <c r="C51" s="6" t="s">
        <v>222</v>
      </c>
      <c r="D51" s="6" t="s">
        <v>223</v>
      </c>
      <c r="E51" s="6" t="s">
        <v>224</v>
      </c>
      <c r="F51" s="6" t="s">
        <v>225</v>
      </c>
      <c r="G51" s="6" t="s">
        <v>226</v>
      </c>
      <c r="H51" s="6" t="s">
        <v>174</v>
      </c>
    </row>
    <row r="52" spans="1:8">
      <c r="A52" s="7" t="s">
        <v>183</v>
      </c>
    </row>
    <row r="53" spans="1:8">
      <c r="A53" s="8" t="s">
        <v>227</v>
      </c>
      <c r="B53" s="10">
        <f>Ageing!B6/100000</f>
        <v>392.57</v>
      </c>
      <c r="C53" s="10">
        <f>Ageing!C6/100000</f>
        <v>235.28</v>
      </c>
      <c r="D53" s="10">
        <f>Ageing!D6/100000</f>
        <v>67.95</v>
      </c>
      <c r="E53" s="10">
        <f>Ageing!E6/100000</f>
        <v>37.75</v>
      </c>
      <c r="F53" s="10">
        <f>Ageing!F6/100000</f>
        <v>15.1</v>
      </c>
      <c r="G53" s="10">
        <f>Ageing!G6/100000</f>
        <v>7.55</v>
      </c>
      <c r="H53" s="10">
        <f t="shared" ref="H53:H55" si="0">SUM(B53:G53)</f>
        <v>756.2</v>
      </c>
    </row>
    <row r="54" spans="1:8">
      <c r="A54" s="8" t="s">
        <v>228</v>
      </c>
      <c r="B54" s="10">
        <f>Ageing!B7/100000</f>
        <v>0.0</v>
      </c>
      <c r="C54" s="10">
        <f>Ageing!C7/100000</f>
        <v>0.0</v>
      </c>
      <c r="D54" s="10">
        <f>Ageing!D7/100000</f>
        <v>0.0</v>
      </c>
      <c r="E54" s="10">
        <f>Ageing!E7/100000</f>
        <v>0.0</v>
      </c>
      <c r="F54" s="10">
        <f>Ageing!F7/100000</f>
        <v>0.0</v>
      </c>
      <c r="G54" s="10">
        <f>Ageing!G7/100000</f>
        <v>33.08</v>
      </c>
      <c r="H54" s="10">
        <f t="shared" si="0"/>
        <v>33.08</v>
      </c>
    </row>
    <row r="55" spans="1:8">
      <c r="A55" s="12" t="s">
        <v>174</v>
      </c>
      <c r="B55" s="13">
        <f>SUM(B53:B54)</f>
        <v>392.57</v>
      </c>
      <c r="C55" s="13">
        <f>SUM(C53:C54)</f>
        <v>235.28</v>
      </c>
      <c r="D55" s="13">
        <f>SUM(D53:D54)</f>
        <v>67.95</v>
      </c>
      <c r="E55" s="13">
        <f>SUM(E53:E54)</f>
        <v>37.75</v>
      </c>
      <c r="H55" s="13">
        <f t="shared" si="0"/>
        <v>733.55</v>
      </c>
    </row>
    <row r="56" spans="1:8">
      <c r="A56" s="7" t="s">
        <v>182</v>
      </c>
    </row>
    <row r="57" spans="1:8">
      <c r="A57" s="8" t="s">
        <v>227</v>
      </c>
      <c r="B57" s="10">
        <f>Ageing!B11/100000</f>
        <v>304.83</v>
      </c>
      <c r="C57" s="10">
        <f>Ageing!C11/100000</f>
        <v>181.73</v>
      </c>
      <c r="D57" s="10">
        <f>Ageing!D11/100000</f>
        <v>52.76</v>
      </c>
      <c r="E57" s="10">
        <f>Ageing!E11/100000</f>
        <v>29.31</v>
      </c>
      <c r="F57" s="10">
        <f>Ageing!F11/100000</f>
        <v>11.72</v>
      </c>
      <c r="G57" s="10">
        <f>Ageing!G11/100000</f>
        <v>5.86</v>
      </c>
      <c r="H57" s="10">
        <f>SUM(B57:G57)</f>
        <v>586.2099999999999</v>
      </c>
    </row>
    <row r="58" spans="1:8">
      <c r="A58" s="8" t="s">
        <v>228</v>
      </c>
      <c r="B58" s="10">
        <f>Ageing!B12/100000</f>
        <v>0.0</v>
      </c>
      <c r="C58" s="10">
        <f>Ageing!C12/100000</f>
        <v>0.0</v>
      </c>
      <c r="D58" s="10">
        <f>Ageing!D12/100000</f>
        <v>0.0</v>
      </c>
      <c r="E58" s="10">
        <f>Ageing!E12/100000</f>
        <v>0.0</v>
      </c>
      <c r="F58" s="10">
        <f>Ageing!F12/100000</f>
        <v>0.0</v>
      </c>
      <c r="G58" s="10">
        <f>Ageing!G12/100000</f>
        <v>24.38</v>
      </c>
      <c r="H58" s="10">
        <f>SUM(B58:G58)</f>
        <v>24.38</v>
      </c>
    </row>
    <row r="59" spans="1:8">
      <c r="A59" s="12" t="s">
        <v>174</v>
      </c>
      <c r="B59" s="13">
        <f>SUM(B57:B58)</f>
        <v>304.83</v>
      </c>
      <c r="C59" s="13">
        <f>SUM(C57:C58)</f>
        <v>181.73</v>
      </c>
      <c r="D59" s="13">
        <f>SUM(D57:D58)</f>
        <v>52.76</v>
      </c>
      <c r="E59" s="13">
        <f>SUM(E57:E58)</f>
        <v>29.31</v>
      </c>
      <c r="F59" s="13">
        <f>SUM(F57:F58)</f>
        <v>11.72</v>
      </c>
      <c r="G59" s="13">
        <f>SUM(G57:G58)</f>
        <v>30.24</v>
      </c>
      <c r="H59" s="13">
        <f>SUM(H57:H58)</f>
        <v>610.5899999999999</v>
      </c>
    </row>
    <row r="61" spans="1:8">
      <c r="A61" s="7" t="s">
        <v>229</v>
      </c>
    </row>
    <row r="62" spans="1:8" ht="26" customHeight="1">
      <c r="A62" s="4" t="s">
        <v>3</v>
      </c>
      <c r="B62" s="6" t="s">
        <v>5</v>
      </c>
      <c r="C62" s="6" t="s">
        <v>6</v>
      </c>
    </row>
    <row r="63" spans="1:8">
      <c r="A63" s="8" t="s">
        <v>149</v>
      </c>
      <c r="B63" s="10">
        <f>SUMIF(NS_TB_FT27!$H$5:$H$82,"cash.bank_current",NS_TB_FT27!$I$5:$I$82)/100000</f>
        <v>1370.32</v>
      </c>
      <c r="C63" s="10">
        <f>SUMIF(NS_TB_FT27!$H$5:$H$82,"cash.bank_current",NS_TB_FT27!$J$5:$J$82)/100000</f>
        <v>599.25</v>
      </c>
    </row>
    <row r="64" spans="1:8">
      <c r="A64" s="8" t="s">
        <v>150</v>
      </c>
      <c r="B64" s="10">
        <f>SUMIF(NS_TB_FT27!$H$5:$H$82,"cash.on_hand",NS_TB_FT27!$I$5:$I$82)/100000</f>
        <v>1.66</v>
      </c>
      <c r="C64" s="10">
        <f>SUMIF(NS_TB_FT27!$H$5:$H$82,"cash.on_hand",NS_TB_FT27!$J$5:$J$82)/100000</f>
        <v>1.66</v>
      </c>
    </row>
    <row r="65" spans="1:4">
      <c r="A65" s="12" t="s">
        <v>230</v>
      </c>
      <c r="B65" s="13">
        <f>SUM(B63:B64)</f>
        <v>1371.98</v>
      </c>
      <c r="C65" s="13">
        <f>SUM(C63:C64)</f>
        <v>600.91</v>
      </c>
      <c r="D65" s="19">
        <v>136997000</v>
      </c>
    </row>
  </sheetData>
  <mergeCells count="1">
    <mergeCell ref="A49:C49"/>
  </mergeCells>
  <pageMargins left="0.5" right="0.5" top="0.6" bottom="0.6" header="0.3" footer="0.3"/>
  <pageSetup paperSize="9" fitToHeight="0" orientation="portrait"/>
</worksheet>
</file>

<file path=xl/worksheets/sheet8.xml><?xml version="1.0" encoding="utf-8"?>
<worksheet xmlns="http://schemas.openxmlformats.org/spreadsheetml/2006/main" xmlns:r="http://schemas.openxmlformats.org/officeDocument/2006/relationships">
  <sheetPr>
    <pageSetUpPr fitToPage="1"/>
  </sheetPr>
  <dimension ref="A1:E42"/>
  <sheetViews>
    <sheetView showGridLines="0" tabSelected="1" workbookViewId="0"/>
  </sheetViews>
  <sheetFormatPr defaultRowHeight="15"/>
  <cols>
    <col min="1" max="1" width="54.7109375" customWidth="1"/>
    <col min="2" max="3" width="15.7109375" customWidth="1"/>
    <col min="4" max="5" width="15.28515625" customWidth="1"/>
  </cols>
  <sheetData>
    <row r="1" spans="1:5">
      <c r="A1" s="1" t="s">
        <v>0</v>
      </c>
    </row>
    <row r="2" spans="1:5">
      <c r="A2" s="2" t="s">
        <v>155</v>
      </c>
    </row>
    <row r="3" spans="1:5">
      <c r="A3" s="3" t="s">
        <v>2</v>
      </c>
    </row>
    <row r="5" spans="1:5">
      <c r="A5" s="7" t="s">
        <v>231</v>
      </c>
    </row>
    <row r="6" spans="1:5" ht="26" customHeight="1">
      <c r="A6" s="4" t="s">
        <v>3</v>
      </c>
      <c r="B6" s="6" t="s">
        <v>5</v>
      </c>
      <c r="C6" s="6" t="s">
        <v>6</v>
      </c>
    </row>
    <row r="7" spans="1:5">
      <c r="A7" s="12" t="s">
        <v>232</v>
      </c>
    </row>
    <row r="8" spans="1:5">
      <c r="A8" s="8" t="s">
        <v>233</v>
      </c>
      <c r="B8" s="10">
        <v>2000</v>
      </c>
      <c r="C8" s="10">
        <v>2000</v>
      </c>
    </row>
    <row r="9" spans="1:5">
      <c r="A9" s="12" t="s">
        <v>234</v>
      </c>
    </row>
    <row r="10" spans="1:5">
      <c r="A10" s="8" t="s">
        <v>235</v>
      </c>
      <c r="B10" s="10">
        <f>-SUMIF(NS_TB_FT27!$H$5:$H$82,"eq.share_capital",NS_TB_FT27!$I$5:$I$82)/100000</f>
        <v>1050.0</v>
      </c>
      <c r="C10" s="10">
        <f>-SUMIF(NS_TB_FT27!$H$5:$H$82,"eq.share_capital",NS_TB_FT27!$J$5:$J$82)/100000</f>
        <v>1000.0</v>
      </c>
    </row>
    <row r="11" spans="1:5">
      <c r="A11" s="12" t="s">
        <v>236</v>
      </c>
      <c r="B11" s="13">
        <f>B10</f>
        <v>1050.0</v>
      </c>
      <c r="C11" s="13">
        <f>C10</f>
        <v>1000.0</v>
      </c>
    </row>
    <row r="13" spans="1:5">
      <c r="A13" s="12" t="s">
        <v>237</v>
      </c>
    </row>
    <row r="14" spans="1:5" ht="26" customHeight="1">
      <c r="A14" s="4" t="s">
        <v>3</v>
      </c>
      <c r="B14" s="6" t="s">
        <v>238</v>
      </c>
      <c r="C14" s="6" t="s">
        <v>239</v>
      </c>
      <c r="D14" s="6" t="s">
        <v>240</v>
      </c>
      <c r="E14" s="6" t="s">
        <v>241</v>
      </c>
    </row>
    <row r="15" spans="1:5">
      <c r="A15" s="8" t="s">
        <v>242</v>
      </c>
      <c r="B15" s="20">
        <v>10000000</v>
      </c>
      <c r="C15" s="10">
        <f t="shared" ref="C15:C18" si="0">B15*10/100000</f>
        <v>1000.0</v>
      </c>
      <c r="D15" s="20">
        <v>10000000</v>
      </c>
      <c r="E15" s="10">
        <f t="shared" ref="E15:E18" si="1">D15*10/100000</f>
        <v>1000.0</v>
      </c>
    </row>
    <row r="16" spans="1:5">
      <c r="A16" s="8" t="s">
        <v>178</v>
      </c>
      <c r="B16" s="20">
        <f>B15</f>
        <v>10000000</v>
      </c>
      <c r="C16" s="10">
        <f t="shared" si="0"/>
        <v>1000.0</v>
      </c>
      <c r="D16" s="20">
        <f>D15</f>
        <v>10000000</v>
      </c>
      <c r="E16" s="10">
        <f t="shared" si="1"/>
        <v>1000.0</v>
      </c>
    </row>
    <row r="17" spans="1:5">
      <c r="A17" s="8" t="s">
        <v>243</v>
      </c>
      <c r="B17" s="20">
        <v>500000</v>
      </c>
      <c r="C17" s="10">
        <f t="shared" si="0"/>
        <v>50.0</v>
      </c>
      <c r="D17" s="20">
        <v>0</v>
      </c>
      <c r="E17" s="10">
        <f t="shared" si="1"/>
        <v>0.0</v>
      </c>
    </row>
    <row r="18" spans="1:5">
      <c r="A18" s="12" t="s">
        <v>244</v>
      </c>
      <c r="B18" s="20">
        <f>SUM(B15:B17)</f>
        <v>20500000.0</v>
      </c>
      <c r="C18" s="10">
        <f t="shared" si="0"/>
        <v>2050.0</v>
      </c>
      <c r="D18" s="20">
        <f>SUM(D15:D17)</f>
        <v>20000000.0</v>
      </c>
      <c r="E18" s="10">
        <f t="shared" si="1"/>
        <v>2000.0</v>
      </c>
    </row>
    <row r="20" spans="1:5">
      <c r="A20" s="12" t="s">
        <v>245</v>
      </c>
    </row>
    <row r="21" spans="1:5" ht="26.2" customHeight="1">
      <c r="A21" s="18" t="s">
        <v>246</v>
      </c>
      <c r="B21" s="18"/>
      <c r="C21" s="18"/>
      <c r="D21" s="18"/>
      <c r="E21" s="18"/>
    </row>
    <row r="23" spans="1:5">
      <c r="A23" s="12" t="s">
        <v>247</v>
      </c>
    </row>
    <row r="24" spans="1:5" ht="26" customHeight="1">
      <c r="A24" s="4" t="s">
        <v>248</v>
      </c>
      <c r="B24" s="6" t="s">
        <v>238</v>
      </c>
      <c r="C24" s="6" t="s">
        <v>249</v>
      </c>
      <c r="D24" s="6" t="s">
        <v>240</v>
      </c>
      <c r="E24" s="6" t="s">
        <v>249</v>
      </c>
    </row>
    <row r="25" spans="1:5">
      <c r="A25" s="8" t="s">
        <v>250</v>
      </c>
      <c r="B25" s="20">
        <v>10499999</v>
      </c>
      <c r="C25" s="21">
        <f>B25/B18</f>
        <v>0.5121950731707318</v>
      </c>
      <c r="D25" s="20">
        <v>9999999</v>
      </c>
      <c r="E25" s="21">
        <f>D25/D18</f>
        <v>0.49999995</v>
      </c>
    </row>
    <row r="27" spans="1:5">
      <c r="A27" s="12" t="s">
        <v>251</v>
      </c>
    </row>
    <row r="28" spans="1:5" ht="26" customHeight="1">
      <c r="A28" s="4" t="s">
        <v>252</v>
      </c>
      <c r="B28" s="6" t="s">
        <v>253</v>
      </c>
      <c r="C28" s="6" t="s">
        <v>254</v>
      </c>
      <c r="D28" s="6" t="s">
        <v>255</v>
      </c>
    </row>
    <row r="29" spans="1:5">
      <c r="A29" s="8" t="s">
        <v>250</v>
      </c>
      <c r="B29" s="20">
        <f>B25</f>
        <v>10499999</v>
      </c>
      <c r="C29" s="21">
        <v>0.995</v>
      </c>
      <c r="D29" s="21">
        <f>C29-E25</f>
        <v>0.49500004999999997</v>
      </c>
    </row>
    <row r="31" spans="1:5">
      <c r="A31" s="7" t="s">
        <v>256</v>
      </c>
    </row>
    <row r="32" spans="1:5" ht="26" customHeight="1">
      <c r="A32" s="4" t="s">
        <v>3</v>
      </c>
      <c r="B32" s="6" t="s">
        <v>70</v>
      </c>
      <c r="C32" s="6" t="s">
        <v>71</v>
      </c>
    </row>
    <row r="33" spans="1:3">
      <c r="A33" s="12" t="s">
        <v>101</v>
      </c>
    </row>
    <row r="34" spans="1:3">
      <c r="A34" s="8" t="s">
        <v>203</v>
      </c>
      <c r="B34" s="10">
        <f>C36</f>
        <v>1499.84</v>
      </c>
      <c r="C34" s="10">
        <v>1500</v>
      </c>
    </row>
    <row r="35" spans="1:3">
      <c r="A35" s="8" t="s">
        <v>257</v>
      </c>
      <c r="B35" s="10">
        <v>450</v>
      </c>
      <c r="C35" s="10">
        <v>0</v>
      </c>
    </row>
    <row r="36" spans="1:3">
      <c r="A36" s="12" t="s">
        <v>206</v>
      </c>
      <c r="B36" s="13">
        <f>SUM(B34:B35)</f>
        <v>1949.84</v>
      </c>
      <c r="C36" s="13">
        <f>SUM(C34:C35)-0.16</f>
        <v>1499.84</v>
      </c>
    </row>
    <row r="37" spans="1:3">
      <c r="A37" s="12" t="s">
        <v>102</v>
      </c>
    </row>
    <row r="38" spans="1:3">
      <c r="A38" s="8" t="s">
        <v>203</v>
      </c>
      <c r="B38" s="10">
        <f>-SUMIF(NS_TB_FT27!$H$5:$H$82,"oe.retained_earnings",NS_TB_FT27!$I$5:$I$82)/100000</f>
        <v>-1717.53</v>
      </c>
      <c r="C38" s="10">
        <f>-SUMIF(NS_TB_FT27!$H$5:$H$82,"oe.retained_earnings",NS_TB_FT27!$J$5:$J$82)/100000</f>
        <v>-1526.12</v>
      </c>
    </row>
    <row r="39" spans="1:3">
      <c r="A39" s="8" t="s">
        <v>104</v>
      </c>
      <c r="B39" s="10">
        <f>PL!C20</f>
        <v>475.2999999999999</v>
      </c>
      <c r="C39" s="10">
        <f>PL!D20</f>
        <v>-186.85999999999999</v>
      </c>
    </row>
    <row r="40" spans="1:3">
      <c r="A40" s="8" t="s">
        <v>258</v>
      </c>
      <c r="B40" s="10">
        <f>PL!C25</f>
        <v>-7.3</v>
      </c>
      <c r="C40" s="10">
        <f>PL!D25</f>
        <v>-4.87</v>
      </c>
    </row>
    <row r="41" spans="1:3">
      <c r="A41" s="12" t="s">
        <v>206</v>
      </c>
      <c r="B41" s="13">
        <f>SUM(B38:B40)</f>
        <v>-1249.53</v>
      </c>
      <c r="C41" s="13">
        <f>SUM(B38:B40)</f>
        <v>-1249.53</v>
      </c>
    </row>
    <row r="42" spans="1:3">
      <c r="A42" s="12" t="s">
        <v>259</v>
      </c>
      <c r="B42" s="14">
        <f>B36+B41</f>
        <v>700.31</v>
      </c>
      <c r="C42" s="14">
        <f>C36+C41</f>
        <v>250.30999999999995</v>
      </c>
    </row>
  </sheetData>
  <mergeCells count="1">
    <mergeCell ref="A21:E21"/>
  </mergeCells>
  <pageMargins left="0.5" right="0.5" top="0.6" bottom="0.6" header="0.3" footer="0.3"/>
  <pageSetup paperSize="9" fitToHeight="0" orientation="portrait"/>
</worksheet>
</file>

<file path=xl/worksheets/sheet9.xml><?xml version="1.0" encoding="utf-8"?>
<worksheet xmlns="http://schemas.openxmlformats.org/spreadsheetml/2006/main" xmlns:r="http://schemas.openxmlformats.org/officeDocument/2006/relationships">
  <sheetPr>
    <pageSetUpPr fitToPage="1"/>
  </sheetPr>
  <dimension ref="A1:G121"/>
  <sheetViews>
    <sheetView showGridLines="0" tabSelected="1" workbookViewId="0"/>
  </sheetViews>
  <sheetFormatPr defaultRowHeight="15"/>
  <cols>
    <col min="1" max="1" width="54.7109375" customWidth="1"/>
    <col min="2" max="3" width="15.7109375" customWidth="1"/>
    <col min="4" max="7" width="15.28515625" customWidth="1"/>
  </cols>
  <sheetData>
    <row r="1" spans="1:6">
      <c r="A1" s="1" t="s">
        <v>0</v>
      </c>
    </row>
    <row r="2" spans="1:6">
      <c r="A2" s="2" t="s">
        <v>155</v>
      </c>
    </row>
    <row r="3" spans="1:6">
      <c r="A3" s="3" t="s">
        <v>2</v>
      </c>
    </row>
    <row r="5" spans="1:6">
      <c r="A5" s="7" t="s">
        <v>260</v>
      </c>
    </row>
    <row r="6" spans="1:6" ht="26" customHeight="1">
      <c r="A6" s="4" t="s">
        <v>3</v>
      </c>
      <c r="B6" s="6" t="s">
        <v>5</v>
      </c>
      <c r="C6" s="6" t="s">
        <v>6</v>
      </c>
      <c r="F6" s="6" t="s">
        <v>261</v>
      </c>
    </row>
    <row r="7" spans="1:6">
      <c r="A7" s="12" t="s">
        <v>262</v>
      </c>
    </row>
    <row r="8" spans="1:6">
      <c r="A8" s="8" t="s">
        <v>263</v>
      </c>
      <c r="B8" s="10">
        <f>-SUMIF(NS_TB_FT27!$H$5:$H$82,"borr.nc.term_loan_bank",NS_TB_FT27!$I$5:$I$82)/100000</f>
        <v>224.35</v>
      </c>
      <c r="C8" s="10">
        <f>-SUMIF(NS_TB_FT27!$H$5:$H$82,"borr.nc.term_loan_bank",NS_TB_FT27!$J$5:$J$82)/100000</f>
        <v>203.45</v>
      </c>
      <c r="F8" s="10">
        <v>208.65</v>
      </c>
    </row>
    <row r="9" spans="1:6">
      <c r="A9" s="8" t="s">
        <v>264</v>
      </c>
      <c r="B9" s="10">
        <f>-SUMIF(NS_TB_FT27!$H$5:$H$82,"borr.nc.loan_holding",NS_TB_FT27!$I$5:$I$82)/100000</f>
        <v>529.89</v>
      </c>
      <c r="C9" s="10">
        <f>-SUMIF(NS_TB_FT27!$H$5:$H$82,"borr.nc.loan_holding",NS_TB_FT27!$J$5:$J$82)/100000</f>
        <v>536.48</v>
      </c>
      <c r="F9" s="10">
        <v>492.8</v>
      </c>
    </row>
    <row r="10" spans="1:6">
      <c r="A10" s="12" t="s">
        <v>265</v>
      </c>
      <c r="B10" s="13">
        <f>SUM(B8:B9)</f>
        <v>754.24</v>
      </c>
      <c r="C10" s="13">
        <f>SUM(C8:C9)</f>
        <v>739.9300000000001</v>
      </c>
      <c r="F10" s="10">
        <v>701.4400000000001</v>
      </c>
    </row>
    <row r="11" spans="1:6">
      <c r="A11" s="12" t="s">
        <v>266</v>
      </c>
    </row>
    <row r="12" spans="1:6">
      <c r="A12" s="8" t="s">
        <v>267</v>
      </c>
      <c r="B12" s="10">
        <f>-SUMIF(NS_TB_FT27!$H$5:$H$82,"borr.c.current_maturities",NS_TB_FT27!$I$5:$I$82)/100000</f>
        <v>74.79</v>
      </c>
      <c r="C12" s="10">
        <f>-SUMIF(NS_TB_FT27!$H$5:$H$82,"borr.c.current_maturities",NS_TB_FT27!$J$5:$J$82)/100000</f>
        <v>67.82</v>
      </c>
    </row>
    <row r="13" spans="1:6">
      <c r="A13" s="12" t="s">
        <v>268</v>
      </c>
      <c r="B13" s="13">
        <f>B12</f>
        <v>74.79</v>
      </c>
      <c r="C13" s="13">
        <f>C12</f>
        <v>67.82</v>
      </c>
    </row>
    <row r="14" spans="1:6">
      <c r="A14" s="12" t="s">
        <v>269</v>
      </c>
    </row>
    <row r="15" spans="1:6" ht="37.8" customHeight="1">
      <c r="A15" s="18" t="s">
        <v>270</v>
      </c>
      <c r="B15" s="18"/>
      <c r="C15" s="18"/>
    </row>
    <row r="16" spans="1:6" ht="26.2" customHeight="1">
      <c r="A16" s="18" t="s">
        <v>271</v>
      </c>
      <c r="B16" s="18"/>
      <c r="C16" s="18"/>
    </row>
    <row r="18" spans="1:5">
      <c r="A18" s="12" t="s">
        <v>272</v>
      </c>
    </row>
    <row r="19" spans="1:5" ht="26" customHeight="1">
      <c r="A19" s="4" t="s">
        <v>3</v>
      </c>
      <c r="B19" s="6" t="s">
        <v>273</v>
      </c>
      <c r="C19" s="6" t="s">
        <v>274</v>
      </c>
      <c r="D19" s="6" t="s">
        <v>275</v>
      </c>
      <c r="E19" s="6" t="s">
        <v>174</v>
      </c>
    </row>
    <row r="20" spans="1:5">
      <c r="A20" s="7" t="s">
        <v>276</v>
      </c>
    </row>
    <row r="21" spans="1:5">
      <c r="A21" s="8" t="s">
        <v>203</v>
      </c>
      <c r="B21" s="10">
        <v>375.44</v>
      </c>
      <c r="C21" s="10">
        <v>409.79</v>
      </c>
      <c r="D21" s="10">
        <v>253.2</v>
      </c>
      <c r="E21" s="10">
        <f t="shared" ref="E21:E25" si="0">SUM(B21:D21)</f>
        <v>1038.43</v>
      </c>
    </row>
    <row r="22" spans="1:5">
      <c r="A22" s="8" t="s">
        <v>277</v>
      </c>
      <c r="B22" s="10">
        <v>0</v>
      </c>
      <c r="C22" s="10">
        <v>97.17</v>
      </c>
      <c r="D22" s="10">
        <v>0</v>
      </c>
      <c r="E22" s="10">
        <f t="shared" si="0"/>
        <v>97.17</v>
      </c>
    </row>
    <row r="23" spans="1:5">
      <c r="A23" s="8" t="s">
        <v>278</v>
      </c>
      <c r="B23" s="10">
        <v>-104.17</v>
      </c>
      <c r="C23" s="10">
        <v>0</v>
      </c>
      <c r="D23" s="10">
        <v>-81.02</v>
      </c>
      <c r="E23" s="10">
        <f t="shared" si="0"/>
        <v>-185.19</v>
      </c>
    </row>
    <row r="24" spans="1:5">
      <c r="A24" s="8" t="s">
        <v>279</v>
      </c>
      <c r="B24" s="10">
        <v>0</v>
      </c>
      <c r="C24" s="10">
        <v>29.52</v>
      </c>
      <c r="D24" s="10">
        <v>21.52</v>
      </c>
      <c r="E24" s="10">
        <f t="shared" si="0"/>
        <v>51.04</v>
      </c>
    </row>
    <row r="25" spans="1:5">
      <c r="A25" s="8" t="s">
        <v>280</v>
      </c>
      <c r="B25" s="10">
        <v>0</v>
      </c>
      <c r="C25" s="10">
        <v>0</v>
      </c>
      <c r="D25" s="10">
        <v>0</v>
      </c>
      <c r="E25" s="10">
        <f t="shared" si="0"/>
        <v>0.0</v>
      </c>
    </row>
    <row r="26" spans="1:5">
      <c r="A26" s="12" t="s">
        <v>206</v>
      </c>
      <c r="B26" s="13">
        <f>SUM(B21:B25)</f>
        <v>271.27</v>
      </c>
      <c r="C26" s="13">
        <f>SUM(C21:C25)</f>
        <v>536.48</v>
      </c>
      <c r="D26" s="13">
        <f>SUM(D21:D25)</f>
        <v>193.7</v>
      </c>
      <c r="E26" s="13">
        <f>SUM(E21:E25)</f>
        <v>1001.45</v>
      </c>
    </row>
    <row r="27" spans="1:5">
      <c r="A27" s="7" t="s">
        <v>281</v>
      </c>
    </row>
    <row r="28" spans="1:5">
      <c r="A28" s="8" t="s">
        <v>203</v>
      </c>
      <c r="B28" s="10">
        <v>271.27</v>
      </c>
      <c r="C28" s="10">
        <v>536.48</v>
      </c>
      <c r="D28" s="10">
        <v>193.7</v>
      </c>
      <c r="E28" s="10">
        <f t="shared" ref="E28:E32" si="1">SUM(B28:D28)</f>
        <v>1001.45</v>
      </c>
    </row>
    <row r="29" spans="1:5">
      <c r="A29" s="8" t="s">
        <v>277</v>
      </c>
      <c r="B29" s="10">
        <v>95.69</v>
      </c>
      <c r="C29" s="10">
        <v>0</v>
      </c>
      <c r="D29" s="10">
        <v>0</v>
      </c>
      <c r="E29" s="10">
        <f t="shared" si="1"/>
        <v>95.69</v>
      </c>
    </row>
    <row r="30" spans="1:5">
      <c r="A30" s="8" t="s">
        <v>278</v>
      </c>
      <c r="B30" s="10">
        <v>-67.81999999999999</v>
      </c>
      <c r="C30" s="10">
        <v>-45.2</v>
      </c>
      <c r="D30" s="10">
        <v>-61.98</v>
      </c>
      <c r="E30" s="10">
        <f t="shared" si="1"/>
        <v>-175.0</v>
      </c>
    </row>
    <row r="31" spans="1:5">
      <c r="A31" s="8" t="s">
        <v>279</v>
      </c>
      <c r="B31" s="10">
        <v>0</v>
      </c>
      <c r="C31" s="10">
        <v>38.61</v>
      </c>
      <c r="D31" s="10">
        <v>16.46</v>
      </c>
      <c r="E31" s="10">
        <f t="shared" si="1"/>
        <v>55.07</v>
      </c>
    </row>
    <row r="32" spans="1:5">
      <c r="A32" s="8" t="s">
        <v>280</v>
      </c>
      <c r="B32" s="10">
        <v>0</v>
      </c>
      <c r="C32" s="10">
        <v>0</v>
      </c>
      <c r="D32" s="10">
        <v>42.53</v>
      </c>
      <c r="E32" s="10">
        <f t="shared" si="1"/>
        <v>42.53</v>
      </c>
    </row>
    <row r="33" spans="1:5">
      <c r="A33" s="12" t="s">
        <v>206</v>
      </c>
      <c r="B33" s="13">
        <f>SUM(B28:B32)</f>
        <v>299.14</v>
      </c>
      <c r="C33" s="13">
        <f>SUM(C28:C32)</f>
        <v>529.89</v>
      </c>
      <c r="D33" s="13">
        <f>SUM(D28:D32)</f>
        <v>190.70999999999998</v>
      </c>
      <c r="E33" s="13">
        <f>SUM(E28:E32)</f>
        <v>1019.74</v>
      </c>
    </row>
    <row r="35" spans="1:5">
      <c r="A35" s="7" t="s">
        <v>282</v>
      </c>
    </row>
    <row r="36" spans="1:5">
      <c r="A36" s="12" t="s">
        <v>283</v>
      </c>
    </row>
    <row r="37" spans="1:5" ht="26" customHeight="1">
      <c r="A37" s="4" t="s">
        <v>3</v>
      </c>
      <c r="B37" s="6" t="s">
        <v>70</v>
      </c>
      <c r="C37" s="6" t="s">
        <v>71</v>
      </c>
    </row>
    <row r="38" spans="1:5">
      <c r="A38" s="8" t="s">
        <v>203</v>
      </c>
      <c r="B38" s="10">
        <f>-(SUMIF(NS_TB_FT27!$H$5:$H$82,"lease.nc",NS_TB_FT27!$J$5:$J$82)+SUMIF(NS_TB_FT27!$H$5:$H$82,"lease.c",NS_TB_FT27!$J$5:$J$82))/100000</f>
        <v>193.7</v>
      </c>
      <c r="C38" s="10">
        <v>253.2</v>
      </c>
    </row>
    <row r="39" spans="1:5">
      <c r="A39" s="8" t="s">
        <v>176</v>
      </c>
      <c r="B39" s="10">
        <v>42.53</v>
      </c>
      <c r="C39" s="10">
        <v>0</v>
      </c>
    </row>
    <row r="40" spans="1:5">
      <c r="A40" s="8" t="s">
        <v>284</v>
      </c>
      <c r="B40" s="10">
        <f>SUMIF(NS_TB_FT27!$H$5:$H$82,"fin.interest_lease",NS_TB_FT27!$I$5:$I$82)/100000</f>
        <v>16.46</v>
      </c>
      <c r="C40" s="10">
        <f>SUMIF(NS_TB_FT27!$H$5:$H$82,"fin.interest_lease",NS_TB_FT27!$J$5:$J$82)/100000</f>
        <v>21.52</v>
      </c>
    </row>
    <row r="41" spans="1:5">
      <c r="A41" s="8" t="s">
        <v>285</v>
      </c>
      <c r="B41" s="10">
        <v>-61.98</v>
      </c>
      <c r="C41" s="10">
        <v>-81.02</v>
      </c>
    </row>
    <row r="42" spans="1:5">
      <c r="A42" s="12" t="s">
        <v>206</v>
      </c>
      <c r="B42" s="13">
        <f>B38+B40+B41</f>
        <v>148.18</v>
      </c>
      <c r="C42" s="13">
        <f>SUM(C38:C41)</f>
        <v>193.7</v>
      </c>
    </row>
    <row r="43" spans="1:5">
      <c r="A43" s="12" t="s">
        <v>286</v>
      </c>
    </row>
    <row r="44" spans="1:5">
      <c r="A44" s="8" t="s">
        <v>287</v>
      </c>
      <c r="B44" s="10">
        <f>-SUMIF(NS_TB_FT27!$H$5:$H$82,"lease.c",NS_TB_FT27!$I$5:$I$82)/100000</f>
        <v>57.21</v>
      </c>
      <c r="C44" s="10">
        <f>-SUMIF(NS_TB_FT27!$H$5:$H$82,"lease.c",NS_TB_FT27!$J$5:$J$82)/100000</f>
        <v>58.11</v>
      </c>
    </row>
    <row r="45" spans="1:5">
      <c r="A45" s="8" t="s">
        <v>288</v>
      </c>
      <c r="B45" s="10">
        <f>-SUMIF(NS_TB_FT27!$H$5:$H$82,"lease.nc",NS_TB_FT27!$I$5:$I$82)/100000</f>
        <v>133.5</v>
      </c>
      <c r="C45" s="10">
        <f>-SUMIF(NS_TB_FT27!$H$5:$H$82,"lease.nc",NS_TB_FT27!$J$5:$J$82)/100000</f>
        <v>135.59</v>
      </c>
    </row>
    <row r="46" spans="1:5">
      <c r="A46" s="12" t="s">
        <v>289</v>
      </c>
      <c r="B46" s="13">
        <f>SUM(B44:B45)</f>
        <v>190.71</v>
      </c>
      <c r="C46" s="13">
        <f>SUM(C44:C45)</f>
        <v>193.7</v>
      </c>
    </row>
    <row r="47" spans="1:5">
      <c r="A47" s="12" t="s">
        <v>290</v>
      </c>
    </row>
    <row r="48" spans="1:5">
      <c r="A48" s="8" t="s">
        <v>291</v>
      </c>
      <c r="B48" s="10">
        <v>65.08</v>
      </c>
      <c r="C48" s="10">
        <v>85.06999999999999</v>
      </c>
    </row>
    <row r="49" spans="1:3" hidden="1">
      <c r="A49" s="8" t="s">
        <v>292</v>
      </c>
      <c r="B49" s="10">
        <v>12.34</v>
      </c>
      <c r="C49" s="10">
        <v>12.34</v>
      </c>
    </row>
    <row r="50" spans="1:3">
      <c r="A50" s="8" t="s">
        <v>293</v>
      </c>
      <c r="B50" s="10">
        <v>181.17</v>
      </c>
      <c r="C50" s="10">
        <v>184.02</v>
      </c>
    </row>
    <row r="51" spans="1:3">
      <c r="A51" s="8" t="s">
        <v>294</v>
      </c>
      <c r="B51" s="10">
        <v>0</v>
      </c>
      <c r="C51" s="10">
        <v>0</v>
      </c>
    </row>
    <row r="52" spans="1:3">
      <c r="A52" s="12" t="s">
        <v>295</v>
      </c>
      <c r="B52" s="13">
        <f>SUM(B48:B51)</f>
        <v>258.59</v>
      </c>
      <c r="C52" s="13">
        <f>SUM(C48:C51)</f>
        <v>281.43</v>
      </c>
    </row>
    <row r="54" spans="1:3">
      <c r="A54" s="7" t="s">
        <v>296</v>
      </c>
    </row>
    <row r="55" spans="1:3" ht="26" customHeight="1">
      <c r="A55" s="4" t="s">
        <v>3</v>
      </c>
      <c r="B55" s="6" t="s">
        <v>5</v>
      </c>
      <c r="C55" s="6" t="s">
        <v>6</v>
      </c>
    </row>
    <row r="56" spans="1:3">
      <c r="A56" s="12" t="s">
        <v>208</v>
      </c>
    </row>
    <row r="57" spans="1:3">
      <c r="A57" s="8" t="s">
        <v>297</v>
      </c>
      <c r="B57" s="10">
        <f>-SUMIF(NS_TB_FT27!$H$5:$H$82,"prov.nc.gratuity",NS_TB_FT27!$I$5:$I$82)/100000</f>
        <v>161.05</v>
      </c>
      <c r="C57" s="10">
        <f>-SUMIF(NS_TB_FT27!$H$5:$H$82,"prov.nc.gratuity",NS_TB_FT27!$J$5:$J$82)/100000</f>
        <v>125.84</v>
      </c>
    </row>
    <row r="58" spans="1:3">
      <c r="A58" s="12" t="s">
        <v>174</v>
      </c>
      <c r="B58" s="13">
        <f>B57</f>
        <v>161.05</v>
      </c>
      <c r="C58" s="13">
        <f>C57</f>
        <v>125.84</v>
      </c>
    </row>
    <row r="59" spans="1:3">
      <c r="A59" s="12" t="s">
        <v>198</v>
      </c>
    </row>
    <row r="60" spans="1:3">
      <c r="A60" s="8" t="s">
        <v>297</v>
      </c>
      <c r="B60" s="10">
        <f>-SUMIF(NS_TB_FT27!$H$5:$H$82,"prov.c.gratuity",NS_TB_FT27!$I$5:$I$82)/100000</f>
        <v>19.91</v>
      </c>
      <c r="C60" s="10">
        <f>-SUMIF(NS_TB_FT27!$H$5:$H$82,"prov.c.gratuity",NS_TB_FT27!$J$5:$J$82)/100000</f>
        <v>15.55</v>
      </c>
    </row>
    <row r="61" spans="1:3">
      <c r="A61" s="8" t="s">
        <v>298</v>
      </c>
      <c r="B61" s="10">
        <f>-SUMIF(NS_TB_FT27!$H$5:$H$82,"prov.c.compensated_absences",NS_TB_FT27!$I$5:$I$82)/100000</f>
        <v>48.16</v>
      </c>
      <c r="C61" s="10">
        <f>-SUMIF(NS_TB_FT27!$H$5:$H$82,"prov.c.compensated_absences",NS_TB_FT27!$J$5:$J$82)/100000</f>
        <v>38.89</v>
      </c>
    </row>
    <row r="62" spans="1:3">
      <c r="A62" s="12" t="s">
        <v>174</v>
      </c>
      <c r="B62" s="13">
        <f>SUM(B60:B61)</f>
        <v>68.07</v>
      </c>
      <c r="C62" s="13">
        <f>SUM(C60:C61)</f>
        <v>54.44</v>
      </c>
    </row>
    <row r="63" spans="1:3">
      <c r="A63" s="12" t="s">
        <v>299</v>
      </c>
    </row>
    <row r="64" spans="1:3">
      <c r="A64" s="8" t="s">
        <v>300</v>
      </c>
    </row>
    <row r="65" spans="1:5">
      <c r="A65" s="8" t="s">
        <v>301</v>
      </c>
      <c r="B65" s="10">
        <v>141.39</v>
      </c>
      <c r="C65" s="10">
        <v>107.72</v>
      </c>
    </row>
    <row r="66" spans="1:5">
      <c r="A66" s="8" t="s">
        <v>302</v>
      </c>
      <c r="B66" s="10">
        <v>29.49</v>
      </c>
      <c r="C66" s="10">
        <v>28.93</v>
      </c>
    </row>
    <row r="67" spans="1:5">
      <c r="A67" s="8" t="s">
        <v>303</v>
      </c>
      <c r="B67" s="10">
        <v>10.18</v>
      </c>
      <c r="C67" s="10">
        <v>7.76</v>
      </c>
    </row>
    <row r="68" spans="1:5">
      <c r="A68" s="8" t="s">
        <v>304</v>
      </c>
      <c r="B68" s="10">
        <v>9.76</v>
      </c>
      <c r="C68" s="10">
        <v>6.51</v>
      </c>
    </row>
    <row r="69" spans="1:5">
      <c r="A69" s="8" t="s">
        <v>305</v>
      </c>
      <c r="B69" s="10">
        <v>-9.869999999999999</v>
      </c>
      <c r="C69" s="10">
        <v>-9.529999999999999</v>
      </c>
    </row>
    <row r="70" spans="1:5">
      <c r="A70" s="12" t="s">
        <v>306</v>
      </c>
      <c r="B70" s="13">
        <f>SUM(B65:B69)</f>
        <v>180.95</v>
      </c>
      <c r="C70" s="13">
        <f>SUM(C65:C69)</f>
        <v>141.39</v>
      </c>
    </row>
    <row r="71" spans="1:5">
      <c r="A71" s="8" t="s">
        <v>307</v>
      </c>
      <c r="B71" s="10">
        <f>B60</f>
        <v>19.91</v>
      </c>
      <c r="C71" s="10">
        <f>C60</f>
        <v>15.55</v>
      </c>
    </row>
    <row r="72" spans="1:5">
      <c r="A72" s="8" t="s">
        <v>308</v>
      </c>
      <c r="B72" s="10">
        <f>B57</f>
        <v>161.05</v>
      </c>
      <c r="C72" s="10">
        <f>C57</f>
        <v>125.84</v>
      </c>
    </row>
    <row r="73" spans="1:5">
      <c r="A73" s="12" t="s">
        <v>309</v>
      </c>
      <c r="B73" s="13">
        <f>SUM(B71:B72)</f>
        <v>180.96</v>
      </c>
      <c r="C73" s="13">
        <f>SUM(C71:C72)</f>
        <v>141.39000000000001</v>
      </c>
    </row>
    <row r="74" spans="1:5">
      <c r="A74" s="8" t="s">
        <v>310</v>
      </c>
    </row>
    <row r="75" spans="1:5">
      <c r="A75" s="8" t="s">
        <v>302</v>
      </c>
      <c r="B75" s="10">
        <f>B66</f>
        <v>29.49</v>
      </c>
      <c r="C75" s="10">
        <f>C66</f>
        <v>28.93</v>
      </c>
    </row>
    <row r="76" spans="1:5">
      <c r="A76" s="8" t="s">
        <v>303</v>
      </c>
      <c r="B76" s="10">
        <f>B67</f>
        <v>10.18</v>
      </c>
      <c r="C76" s="10">
        <f>C67</f>
        <v>7.76</v>
      </c>
    </row>
    <row r="77" spans="1:5">
      <c r="A77" s="12" t="s">
        <v>311</v>
      </c>
      <c r="B77" s="13">
        <f>SUM(B75:B76)</f>
        <v>39.67</v>
      </c>
      <c r="C77" s="13">
        <f>SUM(C75:C76)</f>
        <v>36.69</v>
      </c>
    </row>
    <row r="78" spans="1:5">
      <c r="A78" s="8" t="s">
        <v>312</v>
      </c>
      <c r="B78" s="10">
        <f>B68</f>
        <v>9.76</v>
      </c>
      <c r="C78" s="10">
        <f>C68</f>
        <v>6.51</v>
      </c>
    </row>
    <row r="79" spans="1:5" ht="26.2" customHeight="1">
      <c r="A79" s="18" t="s">
        <v>313</v>
      </c>
      <c r="B79" s="18"/>
      <c r="C79" s="18"/>
      <c r="D79" s="18"/>
      <c r="E79" s="18"/>
    </row>
    <row r="81" spans="1:7">
      <c r="A81" s="7" t="s">
        <v>314</v>
      </c>
    </row>
    <row r="82" spans="1:7" ht="26" customHeight="1">
      <c r="A82" s="4" t="s">
        <v>3</v>
      </c>
      <c r="B82" s="6" t="s">
        <v>5</v>
      </c>
      <c r="C82" s="6" t="s">
        <v>6</v>
      </c>
    </row>
    <row r="83" spans="1:7">
      <c r="A83" s="8" t="s">
        <v>315</v>
      </c>
      <c r="B83" s="10">
        <f>-SUMIF(NS_TB_FT27!$H$5:$H$82,"tp.msme",NS_TB_FT27!$I$5:$I$82)/100000</f>
        <v>18.27</v>
      </c>
      <c r="C83" s="10">
        <f>-SUMIF(NS_TB_FT27!$H$5:$H$82,"tp.msme",NS_TB_FT27!$J$5:$J$82)/100000</f>
        <v>19.53</v>
      </c>
    </row>
    <row r="84" spans="1:7">
      <c r="A84" s="8" t="s">
        <v>316</v>
      </c>
      <c r="B84" s="10">
        <f>-(SUMIF(NS_TB_FT27!$H$5:$H$82,"tp.others",NS_TB_FT27!$I$5:$I$82)+SUMIF(NS_TB_FT27!$H$5:$H$82,"tp.related",NS_TB_FT27!$I$5:$I$82))/100000</f>
        <v>255.2</v>
      </c>
      <c r="C84" s="10">
        <f>-(SUMIF(NS_TB_FT27!$H$5:$H$82,"tp.others",NS_TB_FT27!$J$5:$J$82)+SUMIF(NS_TB_FT27!$H$5:$H$82,"tp.related",NS_TB_FT27!$J$5:$J$82))/100000</f>
        <v>245.55</v>
      </c>
    </row>
    <row r="85" spans="1:7">
      <c r="A85" s="12" t="s">
        <v>317</v>
      </c>
      <c r="B85" s="13">
        <f>SUM(B83:B84)</f>
        <v>273.46999999999997</v>
      </c>
      <c r="C85" s="13">
        <f>SUM(C83:C84)</f>
        <v>265.08000000000004</v>
      </c>
    </row>
    <row r="86" spans="1:7">
      <c r="A86" s="11" t="s">
        <v>318</v>
      </c>
      <c r="B86" s="10">
        <f>-SUMIF(NS_TB_FT27!$H$5:$H$82,"tp.related",NS_TB_FT27!$I$5:$I$82)/100000</f>
        <v>108.69</v>
      </c>
      <c r="C86" s="10">
        <f>-SUMIF(NS_TB_FT27!$H$5:$H$82,"tp.related",NS_TB_FT27!$J$5:$J$82)/100000</f>
        <v>101.36</v>
      </c>
    </row>
    <row r="87" spans="1:7">
      <c r="A87" s="12" t="s">
        <v>319</v>
      </c>
    </row>
    <row r="88" spans="1:7" ht="26" customHeight="1">
      <c r="A88" s="4" t="s">
        <v>3</v>
      </c>
      <c r="B88" s="6" t="s">
        <v>221</v>
      </c>
      <c r="C88" s="6" t="s">
        <v>320</v>
      </c>
      <c r="D88" s="6" t="s">
        <v>224</v>
      </c>
      <c r="E88" s="6" t="s">
        <v>225</v>
      </c>
      <c r="F88" s="6" t="s">
        <v>226</v>
      </c>
      <c r="G88" s="6" t="s">
        <v>174</v>
      </c>
    </row>
    <row r="89" spans="1:7">
      <c r="A89" s="7" t="s">
        <v>183</v>
      </c>
    </row>
    <row r="90" spans="1:7">
      <c r="A90" s="8" t="s">
        <v>321</v>
      </c>
      <c r="B90" s="10">
        <f>Ageing!B17/100000</f>
        <v>12.79</v>
      </c>
      <c r="C90" s="10">
        <f>Ageing!C17/100000</f>
        <v>5.48</v>
      </c>
      <c r="D90" s="10">
        <f>Ageing!D17/100000</f>
        <v>0.0</v>
      </c>
      <c r="E90" s="10">
        <f>Ageing!E17/100000</f>
        <v>0.0</v>
      </c>
      <c r="F90" s="10">
        <f>Ageing!F17/100000</f>
        <v>0.0</v>
      </c>
      <c r="G90" s="10">
        <f t="shared" ref="G90:G93" si="2">SUM(B90:F90)</f>
        <v>18.27</v>
      </c>
    </row>
    <row r="91" spans="1:7">
      <c r="A91" s="8" t="s">
        <v>322</v>
      </c>
      <c r="B91" s="10">
        <f>Ageing!B18/100000</f>
        <v>153.12</v>
      </c>
      <c r="C91" s="10">
        <f>Ageing!C18/100000</f>
        <v>76.56</v>
      </c>
      <c r="D91" s="10">
        <f>Ageing!D18/100000</f>
        <v>25.52</v>
      </c>
      <c r="E91" s="10">
        <f>Ageing!E18/100000</f>
        <v>0.0</v>
      </c>
      <c r="F91" s="10">
        <f>Ageing!F18/100000</f>
        <v>0.0</v>
      </c>
      <c r="G91" s="10">
        <f t="shared" si="2"/>
        <v>255.20000000000002</v>
      </c>
    </row>
    <row r="92" spans="1:7">
      <c r="A92" s="8" t="s">
        <v>323</v>
      </c>
      <c r="B92" s="10">
        <v>0</v>
      </c>
      <c r="C92" s="10">
        <v>0</v>
      </c>
      <c r="D92" s="10">
        <v>0</v>
      </c>
      <c r="E92" s="10">
        <v>0</v>
      </c>
      <c r="F92" s="10">
        <v>0</v>
      </c>
      <c r="G92" s="10">
        <f t="shared" si="2"/>
        <v>0.0</v>
      </c>
    </row>
    <row r="93" spans="1:7">
      <c r="A93" s="8" t="s">
        <v>324</v>
      </c>
      <c r="B93" s="10">
        <v>0</v>
      </c>
      <c r="C93" s="10">
        <v>0</v>
      </c>
      <c r="D93" s="10">
        <v>0</v>
      </c>
      <c r="E93" s="10">
        <v>0</v>
      </c>
      <c r="F93" s="10">
        <v>0</v>
      </c>
      <c r="G93" s="10">
        <f t="shared" si="2"/>
        <v>0.0</v>
      </c>
    </row>
    <row r="94" spans="1:7">
      <c r="A94" s="12" t="s">
        <v>174</v>
      </c>
      <c r="B94" s="13">
        <f>SUM(B90:B93)</f>
        <v>165.91</v>
      </c>
      <c r="C94" s="13">
        <f>SUM(C90:C93)</f>
        <v>82.04</v>
      </c>
      <c r="D94" s="13">
        <f>SUM(D90:D93)</f>
        <v>25.52</v>
      </c>
      <c r="E94" s="13">
        <f>SUM(E90:E93)</f>
        <v>0.0</v>
      </c>
      <c r="F94" s="13">
        <f>SUM(F90:F93)</f>
        <v>0.0</v>
      </c>
      <c r="G94" s="13">
        <f>SUM(G90:G93)</f>
        <v>273.47</v>
      </c>
    </row>
    <row r="95" spans="1:7">
      <c r="A95" s="7" t="s">
        <v>182</v>
      </c>
    </row>
    <row r="96" spans="1:7">
      <c r="A96" s="8" t="s">
        <v>321</v>
      </c>
      <c r="B96" s="10">
        <f>Ageing!B22/100000</f>
        <v>13.67</v>
      </c>
      <c r="C96" s="10">
        <f>Ageing!C22/100000</f>
        <v>5.86</v>
      </c>
      <c r="D96" s="10">
        <f>Ageing!D22/100000</f>
        <v>0.0</v>
      </c>
      <c r="E96" s="10">
        <f>Ageing!E22/100000</f>
        <v>0.0</v>
      </c>
      <c r="F96" s="10">
        <f>Ageing!F22/100000</f>
        <v>0.0</v>
      </c>
      <c r="G96" s="10">
        <f t="shared" ref="G96:G99" si="3">SUM(B96:F96)</f>
        <v>19.53</v>
      </c>
    </row>
    <row r="97" spans="1:7">
      <c r="A97" s="8" t="s">
        <v>322</v>
      </c>
      <c r="B97" s="10">
        <f>Ageing!B23/100000</f>
        <v>147.33</v>
      </c>
      <c r="C97" s="10">
        <f>Ageing!C23/100000</f>
        <v>73.67</v>
      </c>
      <c r="D97" s="10">
        <f>Ageing!D23/100000</f>
        <v>24.55</v>
      </c>
      <c r="E97" s="10">
        <f>Ageing!E23/100000</f>
        <v>0.0</v>
      </c>
      <c r="F97" s="10">
        <f>Ageing!F23/100000</f>
        <v>0.0</v>
      </c>
      <c r="G97" s="10">
        <f t="shared" si="3"/>
        <v>245.55</v>
      </c>
    </row>
    <row r="98" spans="1:7">
      <c r="A98" s="8" t="s">
        <v>323</v>
      </c>
      <c r="B98" s="10">
        <v>0</v>
      </c>
      <c r="C98" s="10">
        <v>0</v>
      </c>
      <c r="D98" s="10">
        <v>0</v>
      </c>
      <c r="E98" s="10">
        <v>0</v>
      </c>
      <c r="F98" s="10">
        <v>0</v>
      </c>
      <c r="G98" s="10">
        <f t="shared" si="3"/>
        <v>0.0</v>
      </c>
    </row>
    <row r="99" spans="1:7">
      <c r="A99" s="8" t="s">
        <v>324</v>
      </c>
      <c r="B99" s="10">
        <v>0</v>
      </c>
      <c r="C99" s="10">
        <v>0</v>
      </c>
      <c r="D99" s="10">
        <v>0</v>
      </c>
      <c r="E99" s="10">
        <v>0</v>
      </c>
      <c r="F99" s="10">
        <v>0</v>
      </c>
      <c r="G99" s="10">
        <f t="shared" si="3"/>
        <v>0.0</v>
      </c>
    </row>
    <row r="100" spans="1:7">
      <c r="A100" s="12" t="s">
        <v>174</v>
      </c>
      <c r="B100" s="13">
        <f>SUM(B96:B99)</f>
        <v>161.0</v>
      </c>
      <c r="C100" s="13">
        <f>SUM(C96:C99)</f>
        <v>79.53</v>
      </c>
      <c r="D100" s="13">
        <f>SUM(D96:D99)</f>
        <v>24.55</v>
      </c>
      <c r="E100" s="13">
        <f>SUM(E96:E99)</f>
        <v>0.0</v>
      </c>
      <c r="F100" s="13">
        <f>SUM(F96:F99)</f>
        <v>0.0</v>
      </c>
      <c r="G100" s="13">
        <f>SUM(G96:G99)</f>
        <v>265.08000000000004</v>
      </c>
    </row>
    <row r="101" spans="1:7">
      <c r="A101" s="12" t="s">
        <v>325</v>
      </c>
    </row>
    <row r="102" spans="1:7">
      <c r="A102" s="8" t="s">
        <v>326</v>
      </c>
      <c r="B102" s="10">
        <f>B83</f>
        <v>18.27</v>
      </c>
      <c r="C102" s="10">
        <f>C83</f>
        <v>19.53</v>
      </c>
    </row>
    <row r="103" spans="1:7">
      <c r="A103" s="8" t="s">
        <v>327</v>
      </c>
      <c r="B103" s="10">
        <v>0</v>
      </c>
      <c r="C103" s="10">
        <v>0</v>
      </c>
    </row>
    <row r="104" spans="1:7">
      <c r="A104" s="8" t="s">
        <v>328</v>
      </c>
      <c r="B104" s="10">
        <v>0</v>
      </c>
      <c r="C104" s="10">
        <v>0</v>
      </c>
    </row>
    <row r="105" spans="1:7">
      <c r="A105" s="8" t="s">
        <v>329</v>
      </c>
      <c r="B105" s="10">
        <v>0</v>
      </c>
      <c r="C105" s="10">
        <v>0</v>
      </c>
    </row>
    <row r="106" spans="1:7">
      <c r="A106" s="8" t="s">
        <v>330</v>
      </c>
      <c r="B106" s="10">
        <v>0</v>
      </c>
      <c r="C106" s="10">
        <v>0</v>
      </c>
    </row>
    <row r="107" spans="1:7">
      <c r="A107" s="8" t="s">
        <v>331</v>
      </c>
      <c r="B107" s="10">
        <v>0</v>
      </c>
      <c r="C107" s="10">
        <v>0</v>
      </c>
    </row>
    <row r="108" spans="1:7" ht="26.2" customHeight="1">
      <c r="A108" s="18" t="s">
        <v>332</v>
      </c>
      <c r="B108" s="18"/>
      <c r="C108" s="18"/>
      <c r="D108" s="18"/>
      <c r="E108" s="18"/>
      <c r="F108" s="18"/>
      <c r="G108" s="18"/>
    </row>
    <row r="110" spans="1:7">
      <c r="A110" s="7" t="s">
        <v>333</v>
      </c>
    </row>
    <row r="111" spans="1:7" ht="26" customHeight="1">
      <c r="A111" s="4" t="s">
        <v>3</v>
      </c>
      <c r="B111" s="6" t="s">
        <v>5</v>
      </c>
      <c r="C111" s="6" t="s">
        <v>6</v>
      </c>
    </row>
    <row r="112" spans="1:7">
      <c r="A112" s="8" t="s">
        <v>334</v>
      </c>
      <c r="B112" s="10">
        <f>-SUMIF(NS_TB_FT27!$H$5:$H$82,"ofl.employee_payable",NS_TB_FT27!$I$5:$I$82)/100000</f>
        <v>133.3</v>
      </c>
      <c r="C112" s="10">
        <f>-SUMIF(NS_TB_FT27!$H$5:$H$82,"ofl.employee_payable",NS_TB_FT27!$J$5:$J$82)/100000</f>
        <v>130.31</v>
      </c>
    </row>
    <row r="113" spans="1:3">
      <c r="A113" s="8" t="s">
        <v>335</v>
      </c>
      <c r="B113" s="10">
        <f>-SUMIF(NS_TB_FT27!$H$5:$H$82,"ofl.interest_accrued",NS_TB_FT27!$I$5:$I$82)/100000</f>
        <v>3.94</v>
      </c>
      <c r="C113" s="10">
        <f>-SUMIF(NS_TB_FT27!$H$5:$H$82,"ofl.interest_accrued",NS_TB_FT27!$J$5:$J$82)/100000</f>
        <v>3.94</v>
      </c>
    </row>
    <row r="114" spans="1:3">
      <c r="A114" s="8" t="s">
        <v>336</v>
      </c>
      <c r="B114" s="10">
        <f>-SUMIF(NS_TB_FT27!$H$5:$H$82,"ofl.capital_creditors",NS_TB_FT27!$I$5:$I$82)/100000</f>
        <v>8.46</v>
      </c>
      <c r="C114" s="10">
        <f>-SUMIF(NS_TB_FT27!$H$5:$H$82,"ofl.capital_creditors",NS_TB_FT27!$J$5:$J$82)/100000</f>
        <v>8.46</v>
      </c>
    </row>
    <row r="115" spans="1:3">
      <c r="A115" s="12" t="s">
        <v>337</v>
      </c>
      <c r="B115" s="13">
        <f>SUM(B112:B114)</f>
        <v>145.70000000000002</v>
      </c>
      <c r="C115" s="13">
        <v>142.71</v>
      </c>
    </row>
    <row r="116" spans="1:3" hidden="1">
      <c r="A116" s="8" t="s">
        <v>338</v>
      </c>
      <c r="B116" s="10" t="e">
        <f>#REF!</f>
        <v>#REF!</v>
      </c>
    </row>
    <row r="117" spans="1:3">
      <c r="A117" s="7" t="s">
        <v>339</v>
      </c>
    </row>
    <row r="118" spans="1:3" ht="26" customHeight="1">
      <c r="A118" s="4" t="s">
        <v>3</v>
      </c>
      <c r="B118" s="6" t="s">
        <v>5</v>
      </c>
      <c r="C118" s="6" t="s">
        <v>6</v>
      </c>
    </row>
    <row r="119" spans="1:3">
      <c r="A119" s="8" t="s">
        <v>340</v>
      </c>
      <c r="B119" s="10">
        <f>-SUMIF(NS_TB_FT27!$H$5:$H$82,"ocl.statutory_dues",NS_TB_FT27!$I$5:$I$82)/100000</f>
        <v>63.15</v>
      </c>
      <c r="C119" s="10">
        <v>62.734</v>
      </c>
    </row>
    <row r="120" spans="1:3">
      <c r="A120" s="8" t="s">
        <v>341</v>
      </c>
      <c r="B120" s="10">
        <f>-SUMIF(NS_TB_FT27!$H$5:$H$82,"ocl.advance_customers",NS_TB_FT27!$I$5:$I$82)/100000</f>
        <v>42.39</v>
      </c>
      <c r="C120" s="10">
        <v>34.744</v>
      </c>
    </row>
    <row r="121" spans="1:3">
      <c r="A121" s="12" t="s">
        <v>342</v>
      </c>
      <c r="B121" s="13">
        <f>SUM(B119:B120)</f>
        <v>105.53999999999999</v>
      </c>
      <c r="C121" s="13">
        <f>SUM(C119:C120)</f>
        <v>97.47800000000001</v>
      </c>
    </row>
  </sheetData>
  <mergeCells count="4">
    <mergeCell ref="A15:C15"/>
    <mergeCell ref="A16:C16"/>
    <mergeCell ref="A79:E79"/>
    <mergeCell ref="A108:G108"/>
  </mergeCells>
  <pageMargins left="0.5" right="0.5" top="0.6" bottom="0.6" header="0.3" footer="0.3"/>
  <pageSetup paperSize="9" fitToHeight="0" orientation="portrait"/>
</worksheet>
</file>

<file path=xl/worksheets/sheet10.xml><?xml version="1.0" encoding="utf-8"?>
<worksheet xmlns="http://schemas.openxmlformats.org/spreadsheetml/2006/main" xmlns:r="http://schemas.openxmlformats.org/officeDocument/2006/relationships">
  <sheetPr>
    <pageSetUpPr fitToPage="1"/>
  </sheetPr>
  <dimension ref="A1:C88"/>
  <sheetViews>
    <sheetView showGridLines="0" tabSelected="1" workbookViewId="0"/>
  </sheetViews>
  <sheetFormatPr defaultRowHeight="15"/>
  <cols>
    <col min="1" max="1" width="54.7109375" customWidth="1"/>
    <col min="2" max="3" width="15.7109375" customWidth="1"/>
  </cols>
  <sheetData>
    <row r="1" spans="1:3">
      <c r="A1" s="1" t="s">
        <v>0</v>
      </c>
    </row>
    <row r="2" spans="1:3">
      <c r="A2" s="2" t="s">
        <v>155</v>
      </c>
    </row>
    <row r="3" spans="1:3">
      <c r="A3" s="3" t="s">
        <v>2</v>
      </c>
    </row>
    <row r="5" spans="1:3">
      <c r="A5" s="7" t="s">
        <v>343</v>
      </c>
    </row>
    <row r="6" spans="1:3" ht="26" customHeight="1">
      <c r="A6" s="4" t="s">
        <v>3</v>
      </c>
      <c r="B6" s="6" t="s">
        <v>70</v>
      </c>
      <c r="C6" s="6" t="s">
        <v>71</v>
      </c>
    </row>
    <row r="7" spans="1:3">
      <c r="A7" s="8" t="s">
        <v>344</v>
      </c>
      <c r="B7" s="10">
        <f>-(SUMIF(NS_TB_FT27!$H$5:$H$82,"rev.services_domestic",NS_TB_FT27!$I$5:$I$82)+SUMIF(NS_TB_FT27!$H$5:$H$82,"rev.services_export",NS_TB_FT27!$I$5:$I$82))/100000</f>
        <v>3438.1</v>
      </c>
      <c r="C7" s="10">
        <f>-(SUMIF(NS_TB_FT27!$H$5:$H$82,"rev.services_domestic",NS_TB_FT27!$J$5:$J$82)+SUMIF(NS_TB_FT27!$H$5:$H$82,"rev.services_export",NS_TB_FT27!$J$5:$J$82))/100000</f>
        <v>2730.19</v>
      </c>
    </row>
    <row r="8" spans="1:3">
      <c r="A8" s="8" t="s">
        <v>345</v>
      </c>
      <c r="B8" s="10">
        <f>-SUMIF(NS_TB_FT27!$H$5:$H$82,"rev.related_support",NS_TB_FT27!$I$5:$I$82)/100000</f>
        <v>1030.27</v>
      </c>
      <c r="C8" s="10">
        <f>-SUMIF(NS_TB_FT27!$H$5:$H$82,"rev.related_support",NS_TB_FT27!$J$5:$J$82)/100000</f>
        <v>748.18</v>
      </c>
    </row>
    <row r="9" spans="1:3">
      <c r="A9" s="12" t="s">
        <v>346</v>
      </c>
      <c r="B9" s="13">
        <f>SUM(B7:B8)</f>
        <v>4468.37</v>
      </c>
      <c r="C9" s="13">
        <f>SUM(C7:C8)</f>
        <v>3478.37</v>
      </c>
    </row>
    <row r="10" spans="1:3">
      <c r="A10" s="12" t="s">
        <v>347</v>
      </c>
    </row>
    <row r="11" spans="1:3">
      <c r="A11" s="8" t="s">
        <v>348</v>
      </c>
      <c r="B11" s="10">
        <f>-SUMIF(NS_TB_FT27!$H$5:$H$82,"rev.services_domestic",NS_TB_FT27!$I$5:$I$82)/100000</f>
        <v>2098.52</v>
      </c>
      <c r="C11" s="10">
        <f>-SUMIF(NS_TB_FT27!$H$5:$H$82,"rev.services_domestic",NS_TB_FT27!$J$5:$J$82)/100000</f>
        <v>1617.65</v>
      </c>
    </row>
    <row r="12" spans="1:3">
      <c r="A12" s="8" t="s">
        <v>349</v>
      </c>
      <c r="B12" s="10">
        <f>-SUMIF(NS_TB_FT27!$H$5:$H$82,"rev.services_export",NS_TB_FT27!$I$5:$I$82)/100000</f>
        <v>1339.58</v>
      </c>
      <c r="C12" s="10">
        <f>-(SUMIF(NS_TB_FT27!$H$5:$H$82,"rev.services_export",NS_TB_FT27!$J$5:$J$82)+SUMIF(NS_TB_FT27!$H$5:$H$82,"rev.related_support",NS_TB_FT27!$J$5:$J$82))/100000</f>
        <v>1860.72</v>
      </c>
    </row>
    <row r="13" spans="1:3">
      <c r="A13" s="12" t="s">
        <v>350</v>
      </c>
      <c r="B13" s="13">
        <f>SUM(B11:B12)</f>
        <v>3438.1</v>
      </c>
      <c r="C13" s="13">
        <f>SUM(C11:C12)</f>
        <v>3478.37</v>
      </c>
    </row>
    <row r="14" spans="1:3">
      <c r="A14" s="12" t="s">
        <v>351</v>
      </c>
    </row>
    <row r="15" spans="1:3">
      <c r="A15" s="8" t="s">
        <v>352</v>
      </c>
      <c r="B15" s="10">
        <f>'Note 6-11'!B47</f>
        <v>755.82</v>
      </c>
      <c r="C15" s="10">
        <f>'Note 6-11'!C47</f>
        <v>587.08</v>
      </c>
    </row>
    <row r="16" spans="1:3">
      <c r="A16" s="8" t="s">
        <v>353</v>
      </c>
      <c r="B16" s="10">
        <f>'Note 6-11'!B19</f>
        <v>80.48</v>
      </c>
      <c r="C16" s="10">
        <f>'Note 6-11'!C19</f>
        <v>61.77</v>
      </c>
    </row>
    <row r="17" spans="1:3">
      <c r="A17" s="8" t="s">
        <v>354</v>
      </c>
      <c r="B17" s="10">
        <f>'Note 14-19'!B120</f>
        <v>42.39</v>
      </c>
      <c r="C17" s="10">
        <f>'Note 14-19'!C120</f>
        <v>34.744</v>
      </c>
    </row>
    <row r="19" spans="1:3">
      <c r="A19" s="7" t="s">
        <v>355</v>
      </c>
    </row>
    <row r="20" spans="1:3" ht="26" customHeight="1">
      <c r="A20" s="4" t="s">
        <v>3</v>
      </c>
      <c r="B20" s="6" t="s">
        <v>70</v>
      </c>
      <c r="C20" s="6" t="s">
        <v>71</v>
      </c>
    </row>
    <row r="21" spans="1:3">
      <c r="A21" s="8" t="s">
        <v>356</v>
      </c>
      <c r="B21" s="22">
        <f>-SUMIF(NS_TB_FT27!$H$5:$H$82,"oi.interest_deposits",NS_TB_FT27!$I$5:$I$82)/100000</f>
        <v>29.57</v>
      </c>
      <c r="C21" s="10">
        <f>-SUMIF(NS_TB_FT27!$H$5:$H$82,"oi.interest_deposits",NS_TB_FT27!$J$5:$J$82)/100000</f>
        <v>21.25</v>
      </c>
    </row>
    <row r="22" spans="1:3">
      <c r="A22" s="8" t="s">
        <v>357</v>
      </c>
      <c r="B22" s="17">
        <f>-SUMIF(NS_TB_FT27!$H$5:$H$82,"oi.misc",NS_TB_FT27!$I$5:$I$82)/100000</f>
        <v>7.72</v>
      </c>
      <c r="C22" s="10">
        <f>-SUMIF(NS_TB_FT27!$H$5:$H$82,"oi.misc",NS_TB_FT27!$J$5:$J$82)/100000</f>
        <v>5.85</v>
      </c>
    </row>
    <row r="23" spans="1:3">
      <c r="A23" s="12" t="s">
        <v>358</v>
      </c>
      <c r="B23" s="13">
        <f>SUM(B21:B22)</f>
        <v>37.29</v>
      </c>
      <c r="C23" s="13">
        <f>SUM(C21:C22)</f>
        <v>27.1</v>
      </c>
    </row>
    <row r="25" spans="1:3">
      <c r="A25" s="7" t="s">
        <v>359</v>
      </c>
    </row>
    <row r="26" spans="1:3" ht="26" customHeight="1">
      <c r="A26" s="4" t="s">
        <v>3</v>
      </c>
      <c r="B26" s="6" t="s">
        <v>70</v>
      </c>
      <c r="C26" s="6" t="s">
        <v>71</v>
      </c>
    </row>
    <row r="27" spans="1:3">
      <c r="A27" s="8" t="s">
        <v>360</v>
      </c>
      <c r="B27" s="10">
        <f>SUMIF(NS_TB_FT27!$H$5:$H$82,"emp.salaries",NS_TB_FT27!$I$5:$I$82)/100000</f>
        <v>2432.83</v>
      </c>
      <c r="C27" s="10">
        <f>SUMIF(NS_TB_FT27!$H$5:$H$82,"emp.salaries",NS_TB_FT27!$J$5:$J$82)/100000</f>
        <v>2379.06</v>
      </c>
    </row>
    <row r="28" spans="1:3">
      <c r="A28" s="8" t="s">
        <v>361</v>
      </c>
      <c r="B28" s="10">
        <f>SUMIF(NS_TB_FT27!$H$5:$H$82,"emp.pf",NS_TB_FT27!$I$5:$I$82)/100000</f>
        <v>140.12</v>
      </c>
      <c r="C28" s="10">
        <f>SUMIF(NS_TB_FT27!$H$5:$H$82,"emp.pf",NS_TB_FT27!$J$5:$J$82)/100000</f>
        <v>109.64</v>
      </c>
    </row>
    <row r="29" spans="1:3">
      <c r="A29" s="8" t="s">
        <v>362</v>
      </c>
      <c r="B29" s="10">
        <f>SUMIF(NS_TB_FT27!$H$5:$H$82,"emp.gratuity",NS_TB_FT27!$I$5:$I$82)/100000</f>
        <v>39.17</v>
      </c>
      <c r="C29" s="10">
        <f>SUMIF(NS_TB_FT27!$H$5:$H$82,"emp.gratuity",NS_TB_FT27!$J$5:$J$82)/100000</f>
        <v>36.69</v>
      </c>
    </row>
    <row r="30" spans="1:3">
      <c r="A30" s="8" t="s">
        <v>363</v>
      </c>
      <c r="B30" s="10">
        <f>SUMIF(NS_TB_FT27!$H$5:$H$82,"emp.welfare",NS_TB_FT27!$I$5:$I$82)/100000</f>
        <v>32.09</v>
      </c>
      <c r="C30" s="10">
        <f>SUMIF(NS_TB_FT27!$H$5:$H$82,"emp.welfare",NS_TB_FT27!$J$5:$J$82)/100000</f>
        <v>27.58</v>
      </c>
    </row>
    <row r="31" spans="1:3">
      <c r="A31" s="12" t="s">
        <v>364</v>
      </c>
      <c r="B31" s="13">
        <f>SUM(B27:B30)</f>
        <v>2644.21</v>
      </c>
      <c r="C31" s="13">
        <f>SUM(C27:C30)</f>
        <v>2552.97</v>
      </c>
    </row>
    <row r="33" spans="1:3">
      <c r="A33" s="7" t="s">
        <v>365</v>
      </c>
    </row>
    <row r="34" spans="1:3" ht="26" customHeight="1">
      <c r="A34" s="4" t="s">
        <v>3</v>
      </c>
      <c r="B34" s="6" t="s">
        <v>70</v>
      </c>
      <c r="C34" s="6" t="s">
        <v>71</v>
      </c>
    </row>
    <row r="35" spans="1:3">
      <c r="A35" s="8" t="s">
        <v>366</v>
      </c>
      <c r="B35" s="10">
        <f>SUMIF(NS_TB_FT27!$H$5:$H$82,"fin.interest_bank",NS_TB_FT27!$I$5:$I$82)/100000</f>
        <v>25.77</v>
      </c>
      <c r="C35" s="10">
        <f>SUMIF(NS_TB_FT27!$H$5:$H$82,"fin.interest_bank",NS_TB_FT27!$J$5:$J$82)/100000</f>
        <v>35.67</v>
      </c>
    </row>
    <row r="36" spans="1:3">
      <c r="A36" s="8" t="s">
        <v>367</v>
      </c>
      <c r="B36" s="10">
        <f>SUMIF(NS_TB_FT27!$H$5:$H$82,"fin.interest_holding",NS_TB_FT27!$I$5:$I$82)/100000</f>
        <v>42.9</v>
      </c>
      <c r="C36" s="10">
        <f>SUMIF(NS_TB_FT27!$H$5:$H$82,"fin.interest_holding",NS_TB_FT27!$J$5:$J$82)/100000</f>
        <v>32.8</v>
      </c>
    </row>
    <row r="37" spans="1:3">
      <c r="A37" s="8" t="s">
        <v>368</v>
      </c>
      <c r="B37" s="10">
        <f>SUMIF(NS_TB_FT27!$H$5:$H$82,"fin.interest_lease",NS_TB_FT27!$I$5:$I$82)/100000</f>
        <v>16.46</v>
      </c>
      <c r="C37" s="10">
        <f>SUMIF(NS_TB_FT27!$H$5:$H$82,"fin.interest_lease",NS_TB_FT27!$J$5:$J$82)/100000</f>
        <v>21.52</v>
      </c>
    </row>
    <row r="38" spans="1:3">
      <c r="A38" s="12" t="s">
        <v>369</v>
      </c>
      <c r="B38" s="13">
        <f>SUM(B35:B37)</f>
        <v>85.13</v>
      </c>
      <c r="C38" s="13">
        <f>SUM(C35:C37)</f>
        <v>89.99</v>
      </c>
    </row>
    <row r="40" spans="1:3">
      <c r="A40" s="7" t="s">
        <v>370</v>
      </c>
    </row>
    <row r="41" spans="1:3" ht="26" customHeight="1">
      <c r="A41" s="4" t="s">
        <v>3</v>
      </c>
      <c r="B41" s="6" t="s">
        <v>70</v>
      </c>
      <c r="C41" s="6" t="s">
        <v>71</v>
      </c>
    </row>
    <row r="42" spans="1:3">
      <c r="A42" s="8" t="s">
        <v>371</v>
      </c>
      <c r="B42" s="10">
        <f>SUMIF(NS_TB_FT27!$H$5:$H$82,"dep.ppe",NS_TB_FT27!$I$5:$I$82)/100000</f>
        <v>109.56</v>
      </c>
      <c r="C42" s="10">
        <f>SUMIF(NS_TB_FT27!$H$5:$H$82,"dep.ppe",NS_TB_FT27!$J$5:$J$82)/100000</f>
        <v>87.59</v>
      </c>
    </row>
    <row r="43" spans="1:3">
      <c r="A43" s="8" t="s">
        <v>372</v>
      </c>
      <c r="B43" s="10">
        <f>SUMIF(NS_TB_FT27!$H$5:$H$82,"dep.rou",NS_TB_FT27!$I$5:$I$82)/100000</f>
        <v>64.53</v>
      </c>
      <c r="C43" s="10">
        <f>SUMIF(NS_TB_FT27!$H$5:$H$82,"dep.rou",NS_TB_FT27!$J$5:$J$82)/100000</f>
        <v>57.73</v>
      </c>
    </row>
    <row r="44" spans="1:3">
      <c r="A44" s="8" t="s">
        <v>373</v>
      </c>
      <c r="B44" s="10">
        <f>SUMIF(NS_TB_FT27!$H$5:$H$82,"dep.intangibles",NS_TB_FT27!$I$5:$I$82)/100000</f>
        <v>21.41</v>
      </c>
      <c r="C44" s="10">
        <f>SUMIF(NS_TB_FT27!$H$5:$H$82,"dep.intangibles",NS_TB_FT27!$J$5:$J$82)/100000</f>
        <v>17.55</v>
      </c>
    </row>
    <row r="45" spans="1:3">
      <c r="A45" s="12" t="s">
        <v>374</v>
      </c>
      <c r="B45" s="13">
        <f>SUM(B42:B44)</f>
        <v>195.5</v>
      </c>
      <c r="C45" s="13">
        <f>SUM(C42:C44)</f>
        <v>162.87</v>
      </c>
    </row>
    <row r="47" spans="1:3">
      <c r="A47" s="7" t="s">
        <v>375</v>
      </c>
    </row>
    <row r="48" spans="1:3" ht="26" customHeight="1">
      <c r="A48" s="4" t="s">
        <v>3</v>
      </c>
      <c r="B48" s="6" t="s">
        <v>70</v>
      </c>
      <c r="C48" s="6" t="s">
        <v>71</v>
      </c>
    </row>
    <row r="49" spans="1:3">
      <c r="A49" s="8" t="s">
        <v>376</v>
      </c>
      <c r="B49" s="10">
        <f>SUMIF(NS_TB_FT27!$H$5:$H$82,"oth.legal_professional",NS_TB_FT27!$I$5:$I$82)/100000</f>
        <v>133.47</v>
      </c>
      <c r="C49" s="10">
        <f>SUMIF(NS_TB_FT27!$H$5:$H$82,"oth.legal_professional",NS_TB_FT27!$J$5:$J$82)/100000</f>
        <v>143.96</v>
      </c>
    </row>
    <row r="50" spans="1:3">
      <c r="A50" s="8" t="s">
        <v>377</v>
      </c>
      <c r="B50" s="10">
        <f>SUMIF(NS_TB_FT27!$H$5:$H$82,"oth.travel",NS_TB_FT27!$I$5:$I$82)/100000</f>
        <v>81.96</v>
      </c>
      <c r="C50" s="10">
        <f>SUMIF(NS_TB_FT27!$H$5:$H$82,"oth.travel",NS_TB_FT27!$J$5:$J$82)/100000</f>
        <v>76.8</v>
      </c>
    </row>
    <row r="51" spans="1:3">
      <c r="A51" s="8" t="s">
        <v>378</v>
      </c>
      <c r="B51" s="10">
        <f>SUMIF(NS_TB_FT27!$H$5:$H$82,"oth.communication",NS_TB_FT27!$I$5:$I$82)/100000</f>
        <v>33.36</v>
      </c>
      <c r="C51" s="10">
        <f>SUMIF(NS_TB_FT27!$H$5:$H$82,"oth.communication",NS_TB_FT27!$J$5:$J$82)/100000</f>
        <v>30.59</v>
      </c>
    </row>
    <row r="52" spans="1:3">
      <c r="A52" s="8" t="s">
        <v>379</v>
      </c>
      <c r="B52" s="10">
        <f>SUMIF(NS_TB_FT27!$H$5:$H$82,"oth.software",NS_TB_FT27!$I$5:$I$82)/100000</f>
        <v>107.38</v>
      </c>
      <c r="C52" s="10">
        <f>SUMIF(NS_TB_FT27!$H$5:$H$82,"oth.software",NS_TB_FT27!$J$5:$J$82)/100000</f>
        <v>103.59</v>
      </c>
    </row>
    <row r="53" spans="1:3">
      <c r="A53" s="8" t="s">
        <v>380</v>
      </c>
      <c r="B53" s="10">
        <f>SUMIF(NS_TB_FT27!$H$5:$H$82,"oth.ecl",NS_TB_FT27!$I$5:$I$82)/100000</f>
        <v>8.7</v>
      </c>
      <c r="C53" s="10">
        <f>SUMIF(NS_TB_FT27!$H$5:$H$82,"oth.ecl",NS_TB_FT27!$J$5:$J$82)/100000</f>
        <v>8.01</v>
      </c>
    </row>
    <row r="54" spans="1:3">
      <c r="A54" s="8" t="s">
        <v>381</v>
      </c>
      <c r="B54" s="10">
        <f>SUMIF(NS_TB_FT27!$H$5:$H$82,"oth.auditor",NS_TB_FT27!$I$5:$I$82)/100000</f>
        <v>18.82</v>
      </c>
      <c r="C54" s="10">
        <f>SUMIF(NS_TB_FT27!$H$5:$H$82,"oth.auditor",NS_TB_FT27!$J$5:$J$82)/100000</f>
        <v>18.8</v>
      </c>
    </row>
    <row r="55" spans="1:3">
      <c r="A55" s="8" t="s">
        <v>382</v>
      </c>
      <c r="B55" s="10">
        <f>SUMIF(NS_TB_FT27!$H$5:$H$82,"oth.support_services_group",NS_TB_FT27!$I$5:$I$82)/100000</f>
        <v>517.59</v>
      </c>
      <c r="C55" s="10">
        <f>SUMIF(NS_TB_FT27!$H$5:$H$82,"oth.support_services_group",NS_TB_FT27!$J$5:$J$82)/100000</f>
        <v>482.65</v>
      </c>
    </row>
    <row r="56" spans="1:3">
      <c r="A56" s="8" t="s">
        <v>383</v>
      </c>
      <c r="B56" s="10">
        <f>SUMIF(NS_TB_FT27!$H$5:$H$82,"oth.misc",NS_TB_FT27!$I$5:$I$82)/100000</f>
        <v>31.97</v>
      </c>
      <c r="C56" s="10">
        <f>SUMIF(NS_TB_FT27!$H$5:$H$82,"oth.misc",NS_TB_FT27!$J$5:$J$82)/100000</f>
        <v>26.79</v>
      </c>
    </row>
    <row r="57" spans="1:3">
      <c r="A57" s="12" t="s">
        <v>384</v>
      </c>
      <c r="B57" s="13">
        <f>SUM(B49:B56)</f>
        <v>933.25</v>
      </c>
      <c r="C57" s="13">
        <f>ROUND(SUM(C49:C56),2)-0.03</f>
        <v>891.1600000000001</v>
      </c>
    </row>
    <row r="58" spans="1:3">
      <c r="A58" s="12" t="s">
        <v>385</v>
      </c>
    </row>
    <row r="59" spans="1:3">
      <c r="A59" s="8" t="s">
        <v>386</v>
      </c>
      <c r="B59" s="10">
        <f>B54</f>
        <v>18.82</v>
      </c>
      <c r="C59" s="10">
        <f>C54</f>
        <v>18.8</v>
      </c>
    </row>
    <row r="60" spans="1:3">
      <c r="A60" s="8" t="s">
        <v>387</v>
      </c>
      <c r="B60" s="10">
        <v>0</v>
      </c>
      <c r="C60" s="10">
        <v>0</v>
      </c>
    </row>
    <row r="61" spans="1:3">
      <c r="A61" s="12" t="s">
        <v>174</v>
      </c>
      <c r="B61" s="13">
        <f>SUM(B59:B60)</f>
        <v>18.82</v>
      </c>
      <c r="C61" s="13">
        <f>SUM(C59:C60)</f>
        <v>18.8</v>
      </c>
    </row>
    <row r="63" spans="1:3">
      <c r="A63" s="7" t="s">
        <v>388</v>
      </c>
    </row>
    <row r="64" spans="1:3" ht="26" customHeight="1">
      <c r="A64" s="4" t="s">
        <v>3</v>
      </c>
      <c r="B64" s="6" t="s">
        <v>70</v>
      </c>
      <c r="C64" s="6" t="s">
        <v>71</v>
      </c>
    </row>
    <row r="65" spans="1:3">
      <c r="A65" s="12" t="s">
        <v>389</v>
      </c>
    </row>
    <row r="66" spans="1:3">
      <c r="A66" s="8" t="s">
        <v>390</v>
      </c>
      <c r="B66" s="10">
        <f>SUMIF(NS_TB_FT27!$H$5:$H$82,"tax.current",NS_TB_FT27!$I$5:$I$82)/100000</f>
        <v>171.14</v>
      </c>
      <c r="C66" s="10">
        <f>SUMIF(NS_TB_FT27!$H$5:$H$82,"tax.current",NS_TB_FT27!$J$5:$J$82)/100000</f>
        <v>3.56</v>
      </c>
    </row>
    <row r="67" spans="1:3">
      <c r="A67" s="8" t="s">
        <v>391</v>
      </c>
      <c r="B67" s="10">
        <f>SUMIF(NS_TB_FT27!$H$5:$H$82,"tax.deferred",NS_TB_FT27!$I$5:$I$82)/100000</f>
        <v>-6.16</v>
      </c>
      <c r="C67" s="10">
        <f>SUMIF(NS_TB_FT27!$H$5:$H$82,"tax.deferred",NS_TB_FT27!$J$5:$J$82)/100000</f>
        <v>-8.22</v>
      </c>
    </row>
    <row r="68" spans="1:3">
      <c r="A68" s="12" t="s">
        <v>392</v>
      </c>
      <c r="B68" s="13">
        <f>SUM(B66:B67)</f>
        <v>164.98</v>
      </c>
      <c r="C68" s="13">
        <f>SUM(C66:C67)</f>
        <v>-4.66</v>
      </c>
    </row>
    <row r="69" spans="1:3">
      <c r="A69" s="12" t="s">
        <v>393</v>
      </c>
    </row>
    <row r="70" spans="1:3">
      <c r="A70" s="8" t="s">
        <v>114</v>
      </c>
      <c r="B70" s="10">
        <f>PL!C15</f>
        <v>647.5799999999999</v>
      </c>
      <c r="C70" s="10">
        <f>PL!D15</f>
        <v>-191.51999999999998</v>
      </c>
    </row>
    <row r="71" spans="1:3">
      <c r="A71" s="8" t="s">
        <v>394</v>
      </c>
      <c r="B71" s="21">
        <v>0.2517</v>
      </c>
      <c r="C71" s="21">
        <v>0.2517</v>
      </c>
    </row>
    <row r="72" spans="1:3">
      <c r="A72" s="8" t="s">
        <v>395</v>
      </c>
      <c r="B72" s="10">
        <f>ROUND(B70*B71,2)</f>
        <v>163.0</v>
      </c>
      <c r="C72" s="10">
        <f>ROUND(C70*C71,2)</f>
        <v>-48.21</v>
      </c>
    </row>
    <row r="73" spans="1:3">
      <c r="A73" s="8" t="s">
        <v>396</v>
      </c>
      <c r="B73" s="10">
        <v>1.98</v>
      </c>
      <c r="C73" s="10">
        <v>43.55</v>
      </c>
    </row>
    <row r="74" spans="1:3">
      <c r="A74" s="12" t="s">
        <v>397</v>
      </c>
      <c r="B74" s="13">
        <f>SUM(B72:B73)</f>
        <v>164.98</v>
      </c>
      <c r="C74" s="13">
        <f>SUM(C72:C73)</f>
        <v>-4.660000000000004</v>
      </c>
    </row>
    <row r="75" spans="1:3">
      <c r="A75" s="12" t="s">
        <v>398</v>
      </c>
    </row>
    <row r="76" spans="1:3">
      <c r="A76" s="8" t="s">
        <v>203</v>
      </c>
      <c r="B76" s="10">
        <f>-SUMIF(NS_TB_FT27!$H$5:$H$82,"ctl.net",NS_TB_FT27!$J$5:$J$82)/100000</f>
        <v>0.43</v>
      </c>
      <c r="C76" s="10">
        <v>19.42</v>
      </c>
    </row>
    <row r="77" spans="1:3">
      <c r="A77" s="8" t="s">
        <v>399</v>
      </c>
      <c r="B77" s="10">
        <f>SUMIF(NS_TB_FT27!$H$5:$H$82,"tax.current",NS_TB_FT27!$I$5:$I$82)/100000</f>
        <v>171.14</v>
      </c>
      <c r="C77" s="10">
        <f>SUMIF(NS_TB_FT27!$H$5:$H$82,"tax.current",NS_TB_FT27!$J$5:$J$82)/100000</f>
        <v>3.56</v>
      </c>
    </row>
    <row r="78" spans="1:3">
      <c r="A78" s="8" t="s">
        <v>400</v>
      </c>
      <c r="B78" s="10">
        <v>-151.03</v>
      </c>
      <c r="C78" s="10">
        <v>-22.55</v>
      </c>
    </row>
    <row r="79" spans="1:3">
      <c r="A79" s="12" t="s">
        <v>206</v>
      </c>
      <c r="B79" s="13">
        <f>SUM(B76:B78)</f>
        <v>20.539999999999985</v>
      </c>
      <c r="C79" s="13">
        <f>SUM(C76:C78)</f>
        <v>0.43000000000000105</v>
      </c>
    </row>
    <row r="80" spans="1:3">
      <c r="A80" s="8" t="s">
        <v>401</v>
      </c>
      <c r="B80" s="10">
        <f>-SUMIF(NS_TB_FT27!$H$5:$H$82,"ctl.net",NS_TB_FT27!$I$5:$I$82)/100000</f>
        <v>20.54</v>
      </c>
      <c r="C80" s="10">
        <f>-SUMIF(NS_TB_FT27!$H$5:$H$82,"ctl.net",NS_TB_FT27!$J$5:$J$82)/100000</f>
        <v>0.43</v>
      </c>
    </row>
    <row r="81" spans="1:3" ht="14.6" customHeight="1">
      <c r="A81" s="18" t="s">
        <v>402</v>
      </c>
      <c r="B81" s="18"/>
      <c r="C81" s="18"/>
    </row>
    <row r="83" spans="1:3">
      <c r="A83" s="7" t="s">
        <v>403</v>
      </c>
    </row>
    <row r="84" spans="1:3" ht="26" customHeight="1">
      <c r="A84" s="4" t="s">
        <v>3</v>
      </c>
      <c r="B84" s="6" t="s">
        <v>70</v>
      </c>
      <c r="C84" s="6" t="s">
        <v>71</v>
      </c>
    </row>
    <row r="85" spans="1:3">
      <c r="A85" s="8" t="s">
        <v>404</v>
      </c>
      <c r="B85" s="10">
        <f>PL!C20</f>
        <v>475.2999999999999</v>
      </c>
      <c r="C85" s="10">
        <f>PL!D20</f>
        <v>-186.85999999999999</v>
      </c>
    </row>
    <row r="86" spans="1:3">
      <c r="A86" s="8" t="s">
        <v>405</v>
      </c>
      <c r="B86" s="20">
        <v>10145205</v>
      </c>
      <c r="C86" s="20">
        <v>10000000</v>
      </c>
    </row>
    <row r="87" spans="1:3">
      <c r="A87" s="8" t="s">
        <v>406</v>
      </c>
      <c r="B87" s="17">
        <f>B85*100000/B86</f>
        <v>4.684971866019463</v>
      </c>
      <c r="C87" s="17">
        <f>C85*100000/C86</f>
        <v>-1.8686</v>
      </c>
    </row>
    <row r="88" spans="1:3">
      <c r="A88" s="8" t="s">
        <v>407</v>
      </c>
      <c r="B88" s="17">
        <v>10</v>
      </c>
      <c r="C88" s="17">
        <v>10</v>
      </c>
    </row>
  </sheetData>
  <mergeCells count="1">
    <mergeCell ref="A81:C81"/>
  </mergeCells>
  <pageMargins left="0.5" right="0.5" top="0.6" bottom="0.6" header="0.3" footer="0.3"/>
  <pageSetup paperSize="9" fitToHeight="0" orientation="portrait"/>
</worksheet>
</file>

<file path=xl/worksheets/sheet11.xml><?xml version="1.0" encoding="utf-8"?>
<worksheet xmlns="http://schemas.openxmlformats.org/spreadsheetml/2006/main" xmlns:r="http://schemas.openxmlformats.org/officeDocument/2006/relationships">
  <sheetPr>
    <pageSetUpPr fitToPage="1"/>
  </sheetPr>
  <dimension ref="A1:C56"/>
  <sheetViews>
    <sheetView showGridLines="0" tabSelected="1" workbookViewId="0"/>
  </sheetViews>
  <sheetFormatPr defaultRowHeight="15"/>
  <cols>
    <col min="1" max="1" width="54.7109375" customWidth="1"/>
    <col min="2" max="3" width="15.7109375" customWidth="1"/>
  </cols>
  <sheetData>
    <row r="1" spans="1:2">
      <c r="A1" s="1" t="s">
        <v>0</v>
      </c>
    </row>
    <row r="2" spans="1:2">
      <c r="A2" s="2" t="s">
        <v>155</v>
      </c>
    </row>
    <row r="3" spans="1:2">
      <c r="A3" s="3" t="s">
        <v>2</v>
      </c>
    </row>
    <row r="5" spans="1:2">
      <c r="A5" s="7" t="s">
        <v>408</v>
      </c>
    </row>
    <row r="6" spans="1:2">
      <c r="A6" s="12" t="s">
        <v>409</v>
      </c>
    </row>
    <row r="7" spans="1:2" ht="26" customHeight="1">
      <c r="A7" s="4" t="s">
        <v>410</v>
      </c>
    </row>
    <row r="8" spans="1:2">
      <c r="A8" s="8" t="s">
        <v>411</v>
      </c>
      <c r="B8" s="16" t="s">
        <v>250</v>
      </c>
    </row>
    <row r="9" spans="1:2">
      <c r="A9" s="8" t="s">
        <v>412</v>
      </c>
      <c r="B9" s="16" t="s">
        <v>413</v>
      </c>
    </row>
    <row r="10" spans="1:2">
      <c r="A10" s="8" t="s">
        <v>412</v>
      </c>
      <c r="B10" s="16" t="s">
        <v>414</v>
      </c>
    </row>
    <row r="11" spans="1:2">
      <c r="A11" s="8" t="s">
        <v>412</v>
      </c>
      <c r="B11" s="16" t="s">
        <v>415</v>
      </c>
    </row>
    <row r="12" spans="1:2">
      <c r="A12" s="8" t="s">
        <v>416</v>
      </c>
      <c r="B12" s="16" t="s">
        <v>417</v>
      </c>
    </row>
    <row r="13" spans="1:2">
      <c r="A13" s="8" t="s">
        <v>418</v>
      </c>
      <c r="B13" s="16" t="s">
        <v>419</v>
      </c>
    </row>
    <row r="14" spans="1:2">
      <c r="A14" s="8" t="s">
        <v>418</v>
      </c>
      <c r="B14" s="16" t="s">
        <v>420</v>
      </c>
    </row>
    <row r="15" spans="1:2">
      <c r="A15" s="8" t="s">
        <v>418</v>
      </c>
      <c r="B15" s="16" t="s">
        <v>421</v>
      </c>
    </row>
    <row r="17" spans="1:3">
      <c r="A17" s="12" t="s">
        <v>422</v>
      </c>
    </row>
    <row r="18" spans="1:3" ht="26" customHeight="1">
      <c r="A18" s="4" t="s">
        <v>423</v>
      </c>
      <c r="B18" s="6" t="s">
        <v>70</v>
      </c>
      <c r="C18" s="6" t="s">
        <v>71</v>
      </c>
    </row>
    <row r="19" spans="1:3">
      <c r="A19" s="12" t="s">
        <v>424</v>
      </c>
    </row>
    <row r="20" spans="1:3">
      <c r="A20" s="11" t="s">
        <v>413</v>
      </c>
      <c r="B20" s="10">
        <f>-SUMIF(NS_TB_FT27!$H$5:$H$82,"rev.related_support",NS_TB_FT27!$I$5:$I$82)/100000</f>
        <v>1030.27</v>
      </c>
      <c r="C20" s="10">
        <f>-SUMIF(NS_TB_FT27!$H$5:$H$82,"rev.related_support",NS_TB_FT27!$J$5:$J$82)/100000</f>
        <v>748.18</v>
      </c>
    </row>
    <row r="21" spans="1:3">
      <c r="A21" s="12" t="s">
        <v>425</v>
      </c>
    </row>
    <row r="22" spans="1:3">
      <c r="A22" s="11" t="s">
        <v>250</v>
      </c>
      <c r="B22" s="10">
        <v>527.01</v>
      </c>
      <c r="C22" s="10">
        <f>SUMIF(NS_TB_FT27!$H$5:$H$82,"oth.support_services_group",NS_TB_FT27!$J$5:$J$82)/100000</f>
        <v>482.65</v>
      </c>
    </row>
    <row r="23" spans="1:3">
      <c r="A23" s="12" t="s">
        <v>426</v>
      </c>
    </row>
    <row r="24" spans="1:3">
      <c r="A24" s="11" t="s">
        <v>250</v>
      </c>
      <c r="B24" s="10">
        <v>41.9</v>
      </c>
      <c r="C24" s="10">
        <f>SUMIF(NS_TB_FT27!$H$5:$H$82,"fin.interest_holding",NS_TB_FT27!$J$5:$J$82)/100000</f>
        <v>32.8</v>
      </c>
    </row>
    <row r="25" spans="1:3" hidden="1">
      <c r="A25" s="11" t="s">
        <v>414</v>
      </c>
      <c r="B25" s="10">
        <v>3.45</v>
      </c>
      <c r="C25" s="10">
        <v>3.45</v>
      </c>
    </row>
    <row r="26" spans="1:3">
      <c r="A26" s="12" t="s">
        <v>427</v>
      </c>
    </row>
    <row r="27" spans="1:3">
      <c r="A27" s="11" t="s">
        <v>250</v>
      </c>
      <c r="B27" s="10">
        <v>0</v>
      </c>
      <c r="C27" s="10">
        <v>97.17</v>
      </c>
    </row>
    <row r="28" spans="1:3">
      <c r="A28" s="12" t="s">
        <v>428</v>
      </c>
    </row>
    <row r="29" spans="1:3">
      <c r="A29" s="11" t="s">
        <v>250</v>
      </c>
      <c r="B29" s="10">
        <v>45.2</v>
      </c>
      <c r="C29" s="10">
        <v>0</v>
      </c>
    </row>
    <row r="30" spans="1:3">
      <c r="A30" s="12" t="s">
        <v>429</v>
      </c>
    </row>
    <row r="31" spans="1:3">
      <c r="A31" s="11" t="s">
        <v>414</v>
      </c>
      <c r="B31" s="10">
        <v>39.42</v>
      </c>
      <c r="C31" s="10">
        <v>29.52</v>
      </c>
    </row>
    <row r="32" spans="1:3">
      <c r="A32" s="12" t="s">
        <v>430</v>
      </c>
    </row>
    <row r="33" spans="1:3">
      <c r="A33" s="11" t="s">
        <v>250</v>
      </c>
      <c r="B33" s="10"/>
      <c r="C33" s="10"/>
    </row>
    <row r="34" spans="1:3">
      <c r="A34" s="12" t="s">
        <v>431</v>
      </c>
    </row>
    <row r="35" spans="1:3">
      <c r="A35" s="11" t="s">
        <v>417</v>
      </c>
      <c r="B35" s="10">
        <v>32.84</v>
      </c>
      <c r="C35" s="10">
        <v>0</v>
      </c>
    </row>
    <row r="36" spans="1:3">
      <c r="A36" s="12" t="s">
        <v>432</v>
      </c>
    </row>
    <row r="37" spans="1:3">
      <c r="A37" s="11" t="s">
        <v>433</v>
      </c>
      <c r="B37" s="10">
        <v>104.65</v>
      </c>
      <c r="C37" s="10">
        <v>96.7</v>
      </c>
    </row>
    <row r="39" spans="1:3">
      <c r="A39" s="12" t="s">
        <v>434</v>
      </c>
    </row>
    <row r="40" spans="1:3" ht="26" customHeight="1">
      <c r="A40" s="4" t="s">
        <v>435</v>
      </c>
      <c r="B40" s="6" t="s">
        <v>5</v>
      </c>
      <c r="C40" s="6" t="s">
        <v>6</v>
      </c>
    </row>
    <row r="41" spans="1:3">
      <c r="A41" s="12" t="s">
        <v>436</v>
      </c>
    </row>
    <row r="42" spans="1:3">
      <c r="A42" s="11"/>
      <c r="B42" s="10"/>
      <c r="C42" s="10"/>
    </row>
    <row r="43" spans="1:3">
      <c r="A43" s="11" t="s">
        <v>437</v>
      </c>
      <c r="B43" s="10">
        <f>-SUMIF(NS_TB_FT27!$H$5:$H$82,"tp.related",NS_TB_FT27!$J$5:$J$82)/100000</f>
        <v>101.36</v>
      </c>
      <c r="C43" s="10">
        <f>-SUMIF(NS_TB_FT27!$H$5:$H$82,"tp.related",NS_TB_FT27!$J$5:$J$82)/100000</f>
        <v>101.36</v>
      </c>
    </row>
    <row r="44" spans="1:3">
      <c r="A44" s="12" t="s">
        <v>438</v>
      </c>
    </row>
    <row r="45" spans="1:3">
      <c r="A45" s="11" t="s">
        <v>413</v>
      </c>
      <c r="B45" s="10">
        <f>SUMIF(NS_TB_FT27!$H$5:$H$82,"tr.good.related",NS_TB_FT27!$I$5:$I$82)/100000</f>
        <v>195.75</v>
      </c>
      <c r="C45" s="10">
        <f>SUMIF(NS_TB_FT27!$H$5:$H$82,"tr.good.related",NS_TB_FT27!$J$5:$J$82)/100000</f>
        <v>142.15</v>
      </c>
    </row>
    <row r="46" spans="1:3">
      <c r="A46" s="12" t="s">
        <v>439</v>
      </c>
    </row>
    <row r="47" spans="1:3">
      <c r="A47" s="11" t="s">
        <v>250</v>
      </c>
      <c r="B47" s="10">
        <f>-SUMIF(NS_TB_FT27!$H$5:$H$82,"borr.nc.loan_holding",NS_TB_FT27!$I$5:$I$82)/100000</f>
        <v>529.89</v>
      </c>
      <c r="C47" s="10">
        <f>-SUMIF(NS_TB_FT27!$H$5:$H$82,"borr.nc.loan_holding",NS_TB_FT27!$J$5:$J$82)/100000</f>
        <v>536.48</v>
      </c>
    </row>
    <row r="48" spans="1:3">
      <c r="A48" s="12" t="s">
        <v>440</v>
      </c>
    </row>
    <row r="49" spans="1:3">
      <c r="A49" s="11" t="s">
        <v>413</v>
      </c>
      <c r="B49" s="10">
        <f>SUMIF(NS_TB_FT27!$H$5:$H$82,"ofa.c.recoverable_group",NS_TB_FT27!$I$5:$I$82)/100000</f>
        <v>31.0</v>
      </c>
      <c r="C49" s="10">
        <f>SUMIF(NS_TB_FT27!$H$5:$H$82,"ofa.c.recoverable_group",NS_TB_FT27!$J$5:$J$82)/100000</f>
        <v>25.1</v>
      </c>
    </row>
    <row r="50" spans="1:3">
      <c r="A50" s="12" t="s">
        <v>134</v>
      </c>
    </row>
    <row r="51" spans="1:3">
      <c r="A51" s="11" t="s">
        <v>417</v>
      </c>
      <c r="B51" s="10">
        <f>SUMIF(NS_TB_FT27!$H$5:$H$82,"inv.nc.subsidiary",NS_TB_FT27!$I$5:$I$82)/100000</f>
        <v>282.84</v>
      </c>
      <c r="C51" s="10">
        <f>SUMIF(NS_TB_FT27!$H$5:$H$82,"inv.nc.subsidiary",NS_TB_FT27!$J$5:$J$82)/100000</f>
        <v>250.0</v>
      </c>
    </row>
    <row r="52" spans="1:3">
      <c r="A52" s="12" t="s">
        <v>441</v>
      </c>
    </row>
    <row r="53" spans="1:3">
      <c r="A53" s="11" t="s">
        <v>250</v>
      </c>
      <c r="B53" s="10">
        <f>-SUMIF(NS_TB_FT27!$H$5:$H$82,"eq.share_capital",NS_TB_FT27!$I$5:$I$82)/100000</f>
        <v>1050.0</v>
      </c>
      <c r="C53" s="10">
        <f>-SUMIF(NS_TB_FT27!$H$5:$H$82,"eq.share_capital",NS_TB_FT27!$J$5:$J$82)/100000</f>
        <v>1000.0</v>
      </c>
    </row>
    <row r="55" spans="1:3">
      <c r="A55" s="12" t="s">
        <v>442</v>
      </c>
    </row>
    <row r="56" spans="1:3" ht="37.8" customHeight="1">
      <c r="A56" s="18" t="s">
        <v>443</v>
      </c>
      <c r="B56" s="18"/>
      <c r="C56" s="18"/>
    </row>
  </sheetData>
  <mergeCells count="1">
    <mergeCell ref="A56:C56"/>
  </mergeCells>
  <pageMargins left="0.5" right="0.5" top="0.6" bottom="0.6" header="0.3" footer="0.3"/>
  <pageSetup paperSize="9" fitToHeight="0" orientation="portrait"/>
</worksheet>
</file>

<file path=xl/worksheets/sheet12.xml><?xml version="1.0" encoding="utf-8"?>
<worksheet xmlns="http://schemas.openxmlformats.org/spreadsheetml/2006/main" xmlns:r="http://schemas.openxmlformats.org/officeDocument/2006/relationships">
  <sheetPr>
    <pageSetUpPr fitToPage="1"/>
  </sheetPr>
  <dimension ref="A1:G77"/>
  <sheetViews>
    <sheetView showGridLines="0" tabSelected="1" workbookViewId="0"/>
  </sheetViews>
  <sheetFormatPr defaultRowHeight="15"/>
  <cols>
    <col min="1" max="1" width="54.7109375" customWidth="1"/>
    <col min="2" max="3" width="30.7109375" customWidth="1"/>
    <col min="4" max="6" width="15.28515625" customWidth="1"/>
    <col min="7" max="7" width="40.7109375" customWidth="1"/>
  </cols>
  <sheetData>
    <row r="1" spans="1:7">
      <c r="A1" s="1" t="s">
        <v>0</v>
      </c>
    </row>
    <row r="2" spans="1:7">
      <c r="A2" s="2" t="s">
        <v>155</v>
      </c>
    </row>
    <row r="3" spans="1:7">
      <c r="A3" s="3" t="s">
        <v>2</v>
      </c>
    </row>
    <row r="5" spans="1:7">
      <c r="A5" s="7" t="s">
        <v>444</v>
      </c>
    </row>
    <row r="6" spans="1:7" ht="38" customHeight="1">
      <c r="A6" s="18" t="s">
        <v>445</v>
      </c>
      <c r="B6" s="18"/>
      <c r="C6" s="18"/>
    </row>
    <row r="7" spans="1:7" ht="38" customHeight="1">
      <c r="A7" s="18" t="s">
        <v>446</v>
      </c>
      <c r="B7" s="18"/>
      <c r="C7" s="18"/>
    </row>
    <row r="8" spans="1:7" ht="26" customHeight="1">
      <c r="A8" s="18" t="s">
        <v>447</v>
      </c>
      <c r="B8" s="18"/>
      <c r="C8" s="18"/>
    </row>
    <row r="9" spans="1:7" ht="26" hidden="1" customHeight="1">
      <c r="A9" s="18" t="s">
        <v>448</v>
      </c>
      <c r="B9" s="18"/>
      <c r="C9" s="18"/>
    </row>
    <row r="10" spans="1:7" ht="26" hidden="1" customHeight="1">
      <c r="A10" s="18" t="s">
        <v>449</v>
      </c>
      <c r="B10" s="18"/>
      <c r="C10" s="18"/>
    </row>
    <row r="11" spans="1:7" ht="26" hidden="1" customHeight="1">
      <c r="A11" s="18" t="s">
        <v>450</v>
      </c>
      <c r="B11" s="18"/>
      <c r="C11" s="18"/>
    </row>
    <row r="12" spans="1:7" ht="14" hidden="1" customHeight="1">
      <c r="A12" s="18" t="s">
        <v>451</v>
      </c>
      <c r="B12" s="18"/>
      <c r="C12" s="18"/>
    </row>
    <row r="13" spans="1:7" ht="38" customHeight="1">
      <c r="A13" s="18" t="s">
        <v>452</v>
      </c>
      <c r="B13" s="18"/>
      <c r="C13" s="18"/>
    </row>
    <row r="15" spans="1:7">
      <c r="A15" s="7" t="s">
        <v>453</v>
      </c>
    </row>
    <row r="16" spans="1:7" ht="26" customHeight="1">
      <c r="A16" s="4" t="s">
        <v>454</v>
      </c>
      <c r="B16" s="6" t="s">
        <v>455</v>
      </c>
      <c r="C16" s="6" t="s">
        <v>456</v>
      </c>
      <c r="D16" s="6" t="s">
        <v>457</v>
      </c>
      <c r="E16" s="6" t="s">
        <v>458</v>
      </c>
      <c r="F16" s="6" t="s">
        <v>459</v>
      </c>
      <c r="G16" s="6" t="s">
        <v>460</v>
      </c>
    </row>
    <row r="17" spans="1:7">
      <c r="A17" s="8" t="s">
        <v>461</v>
      </c>
      <c r="B17" s="16" t="s">
        <v>19</v>
      </c>
      <c r="C17" s="16" t="s">
        <v>39</v>
      </c>
      <c r="D17" s="17">
        <f>BS!C24/BS!C50</f>
        <v>3.167686362904524</v>
      </c>
      <c r="E17" s="17">
        <v>2.016</v>
      </c>
      <c r="F17" s="21">
        <f t="shared" ref="F17:F25" si="0">IF(E17=0,0,(D17-E17)/ABS(E17))</f>
        <v>0.5712729974724822</v>
      </c>
      <c r="G17" s="23" t="s">
        <v>462</v>
      </c>
    </row>
    <row r="18" spans="1:7">
      <c r="A18" s="8" t="s">
        <v>463</v>
      </c>
      <c r="B18" s="16" t="s">
        <v>464</v>
      </c>
      <c r="C18" s="16" t="s">
        <v>31</v>
      </c>
      <c r="D18" s="17">
        <f>(BS!C35+BS!C41+BS!C36+BS!C42)/BS!C31</f>
        <v>0.5826053670492656</v>
      </c>
      <c r="E18" s="17">
        <v>1.2804</v>
      </c>
      <c r="F18" s="21">
        <f t="shared" si="0"/>
        <v>-0.5449817501958251</v>
      </c>
      <c r="G18" s="23" t="s">
        <v>465</v>
      </c>
    </row>
    <row r="19" spans="1:7">
      <c r="A19" s="8" t="s">
        <v>466</v>
      </c>
      <c r="B19" s="16" t="s">
        <v>467</v>
      </c>
      <c r="C19" s="16" t="s">
        <v>468</v>
      </c>
      <c r="D19" s="17">
        <f>(PL!C20+PL!C12+PL!C11)/-(CFS!B40+CFS!B38+CFS!B39+CFS!B37)</f>
        <v>3.686384472837218</v>
      </c>
      <c r="E19" s="17">
        <v>0.2943</v>
      </c>
      <c r="F19" s="21">
        <f t="shared" si="0"/>
        <v>11.525941124149568</v>
      </c>
      <c r="G19" s="23" t="s">
        <v>469</v>
      </c>
    </row>
    <row r="20" spans="1:7">
      <c r="A20" s="8" t="s">
        <v>470</v>
      </c>
      <c r="B20" s="16" t="s">
        <v>471</v>
      </c>
      <c r="C20" s="16" t="s">
        <v>472</v>
      </c>
      <c r="D20" s="21">
        <f>PL!C20/((BS!C31+BS!D31)/2/2)</f>
        <v>0.6336023888396397</v>
      </c>
      <c r="E20" s="21">
        <v>-0.2129</v>
      </c>
      <c r="F20" s="21">
        <f t="shared" si="0"/>
        <v>3.9760563120697023</v>
      </c>
      <c r="G20" s="23" t="s">
        <v>473</v>
      </c>
    </row>
    <row r="21" spans="1:7">
      <c r="A21" s="8" t="s">
        <v>474</v>
      </c>
      <c r="B21" s="16" t="s">
        <v>475</v>
      </c>
      <c r="C21" s="16" t="s">
        <v>476</v>
      </c>
      <c r="D21" s="17">
        <f>PL!C6/((BS!C20+BS!D20)/2)</f>
        <v>6.654806761486335</v>
      </c>
      <c r="E21" s="17">
        <v>4.5015</v>
      </c>
      <c r="F21" s="21">
        <f t="shared" si="0"/>
        <v>0.47835316260942684</v>
      </c>
      <c r="G21" s="23" t="s">
        <v>477</v>
      </c>
    </row>
    <row r="22" spans="1:7">
      <c r="A22" s="8" t="s">
        <v>478</v>
      </c>
      <c r="B22" s="16" t="s">
        <v>79</v>
      </c>
      <c r="C22" s="16" t="s">
        <v>479</v>
      </c>
      <c r="D22" s="17">
        <f>PL!C13/((BS!C44+BS!C45+BS!D44+BS!D45)/2)</f>
        <v>3.465787763438864</v>
      </c>
      <c r="E22" s="17">
        <v>3.2122</v>
      </c>
      <c r="F22" s="21">
        <f t="shared" si="0"/>
        <v>0.0789451975091413</v>
      </c>
      <c r="G22" s="23" t="s">
        <v>480</v>
      </c>
    </row>
    <row r="23" spans="1:7">
      <c r="A23" s="8" t="s">
        <v>481</v>
      </c>
      <c r="B23" s="16" t="s">
        <v>475</v>
      </c>
      <c r="C23" s="16" t="s">
        <v>482</v>
      </c>
      <c r="D23" s="17">
        <f>PL!C6/(((BS!C24-BS!C50)+(BS!D24-BS!D50))/2)</f>
        <v>3.8643323465745807</v>
      </c>
      <c r="E23" s="17">
        <v>4.3513</v>
      </c>
      <c r="F23" s="21">
        <f t="shared" si="0"/>
        <v>-0.11191314168763805</v>
      </c>
      <c r="G23" s="23" t="s">
        <v>480</v>
      </c>
    </row>
    <row r="24" spans="1:7">
      <c r="A24" s="8" t="s">
        <v>483</v>
      </c>
      <c r="B24" s="16" t="s">
        <v>471</v>
      </c>
      <c r="C24" s="16" t="s">
        <v>475</v>
      </c>
      <c r="D24" s="21">
        <f>PL!C20/PL!C6</f>
        <v>0.10636988432023309</v>
      </c>
      <c r="E24" s="21">
        <v>-0.0537</v>
      </c>
      <c r="F24" s="21">
        <f t="shared" si="0"/>
        <v>2.980817212667283</v>
      </c>
      <c r="G24" s="23" t="s">
        <v>480</v>
      </c>
    </row>
    <row r="25" spans="1:7">
      <c r="A25" s="8" t="s">
        <v>484</v>
      </c>
      <c r="B25" s="16" t="s">
        <v>485</v>
      </c>
      <c r="C25" s="16" t="s">
        <v>486</v>
      </c>
      <c r="D25" s="21">
        <f>(PL!C15)/(BS!C31+(BS!C35+BS!C41+BS!C36+BS!C42))</f>
        <v>0.23377917366112522</v>
      </c>
      <c r="E25" s="21">
        <v>-0.0569</v>
      </c>
      <c r="F25" s="21">
        <f t="shared" si="0"/>
        <v>5.1085970766454345</v>
      </c>
      <c r="G25" s="23" t="s">
        <v>487</v>
      </c>
    </row>
    <row r="26" spans="1:7" ht="14.6" customHeight="1">
      <c r="A26" s="18" t="s">
        <v>488</v>
      </c>
      <c r="B26" s="18"/>
      <c r="C26" s="18"/>
      <c r="D26" s="18"/>
      <c r="E26" s="18"/>
      <c r="F26" s="18"/>
      <c r="G26" s="18"/>
    </row>
    <row r="28" spans="1:7">
      <c r="A28" s="7" t="s">
        <v>489</v>
      </c>
    </row>
    <row r="29" spans="1:7" ht="26" customHeight="1">
      <c r="A29" s="4" t="s">
        <v>3</v>
      </c>
      <c r="B29" s="6" t="s">
        <v>5</v>
      </c>
      <c r="C29" s="6" t="s">
        <v>6</v>
      </c>
    </row>
    <row r="30" spans="1:7">
      <c r="A30" s="12" t="s">
        <v>490</v>
      </c>
    </row>
    <row r="31" spans="1:7">
      <c r="A31" s="8" t="s">
        <v>491</v>
      </c>
      <c r="B31" s="10">
        <v>13.4</v>
      </c>
      <c r="C31" s="10">
        <v>12.26</v>
      </c>
    </row>
    <row r="32" spans="1:7">
      <c r="A32" s="8" t="s">
        <v>492</v>
      </c>
      <c r="B32" s="10">
        <v>5.95</v>
      </c>
      <c r="C32" s="10">
        <v>6.43</v>
      </c>
    </row>
    <row r="33" spans="1:3">
      <c r="A33" s="12" t="s">
        <v>174</v>
      </c>
      <c r="B33" s="13">
        <f>SUM(B31:B32)</f>
        <v>19.35</v>
      </c>
      <c r="C33" s="13">
        <f>SUM(C31:C32)</f>
        <v>18.689999999999998</v>
      </c>
    </row>
    <row r="34" spans="1:3">
      <c r="A34" s="12" t="s">
        <v>493</v>
      </c>
    </row>
    <row r="35" spans="1:3">
      <c r="A35" s="8" t="s">
        <v>494</v>
      </c>
      <c r="B35" s="10">
        <v>3.54</v>
      </c>
      <c r="C35" s="10">
        <v>3.07</v>
      </c>
    </row>
    <row r="37" spans="1:3">
      <c r="A37" s="7" t="s">
        <v>495</v>
      </c>
    </row>
    <row r="38" spans="1:3" ht="26" customHeight="1">
      <c r="A38" s="4" t="s">
        <v>3</v>
      </c>
      <c r="B38" s="6" t="s">
        <v>5</v>
      </c>
      <c r="C38" s="6" t="s">
        <v>6</v>
      </c>
    </row>
    <row r="39" spans="1:3">
      <c r="A39" s="12" t="s">
        <v>496</v>
      </c>
    </row>
    <row r="40" spans="1:3">
      <c r="A40" s="8" t="s">
        <v>497</v>
      </c>
    </row>
    <row r="41" spans="1:3">
      <c r="A41" s="8" t="s">
        <v>438</v>
      </c>
      <c r="B41" s="10">
        <f>'Note 6-11'!B47</f>
        <v>755.82</v>
      </c>
      <c r="C41" s="10">
        <f>'Note 6-11'!C47</f>
        <v>587.08</v>
      </c>
    </row>
    <row r="42" spans="1:3">
      <c r="A42" s="8" t="s">
        <v>498</v>
      </c>
      <c r="B42" s="10">
        <f>'Note 6-11'!B65</f>
        <v>1371.98</v>
      </c>
      <c r="C42" s="10">
        <f>'Note 6-11'!C65</f>
        <v>600.91</v>
      </c>
    </row>
    <row r="43" spans="1:3">
      <c r="A43" s="8" t="s">
        <v>499</v>
      </c>
      <c r="B43" s="10">
        <f>'Note 6-11'!B16+'Note 6-11'!B21</f>
        <v>165.35000000000002</v>
      </c>
      <c r="C43" s="10">
        <f>'Note 6-11'!C16+'Note 6-11'!C21</f>
        <v>133.82</v>
      </c>
    </row>
    <row r="44" spans="1:3">
      <c r="A44" s="12" t="s">
        <v>500</v>
      </c>
      <c r="B44" s="13">
        <f>SUM(B41:B43)</f>
        <v>2293.15</v>
      </c>
      <c r="C44" s="13">
        <f>SUM(C41:C43)</f>
        <v>1321.81</v>
      </c>
    </row>
    <row r="45" spans="1:3">
      <c r="A45" s="8" t="s">
        <v>501</v>
      </c>
    </row>
    <row r="46" spans="1:3">
      <c r="A46" s="8" t="s">
        <v>502</v>
      </c>
      <c r="B46" s="10">
        <f>'Note 14-19'!B13</f>
        <v>74.79</v>
      </c>
      <c r="C46" s="10">
        <f>'Note 14-19'!C10+'Note 14-19'!C13</f>
        <v>807.75</v>
      </c>
    </row>
    <row r="47" spans="1:3">
      <c r="A47" s="8" t="s">
        <v>275</v>
      </c>
      <c r="B47" s="10">
        <f>'Note 14-19'!B46</f>
        <v>190.71</v>
      </c>
      <c r="C47" s="10">
        <f>'Note 14-19'!C46</f>
        <v>193.7</v>
      </c>
    </row>
    <row r="48" spans="1:3">
      <c r="A48" s="8" t="s">
        <v>436</v>
      </c>
      <c r="B48" s="10">
        <f>'Note 14-19'!B85</f>
        <v>273.46999999999997</v>
      </c>
      <c r="C48" s="10">
        <f>'Note 14-19'!C85</f>
        <v>265.08000000000004</v>
      </c>
    </row>
    <row r="49" spans="1:7">
      <c r="A49" s="8" t="s">
        <v>503</v>
      </c>
      <c r="B49" s="10">
        <f>'Note 14-19'!B115</f>
        <v>145.70000000000002</v>
      </c>
      <c r="C49" s="10">
        <f>'Note 14-19'!C115</f>
        <v>142.71</v>
      </c>
    </row>
    <row r="50" spans="1:7">
      <c r="A50" s="12" t="s">
        <v>504</v>
      </c>
      <c r="B50" s="13">
        <f>SUM(B46:B49)</f>
        <v>684.67</v>
      </c>
      <c r="C50" s="13">
        <f>SUM(C46:C49)</f>
        <v>1409.24</v>
      </c>
    </row>
    <row r="51" spans="1:7" ht="14.6" customHeight="1">
      <c r="A51" s="18" t="s">
        <v>505</v>
      </c>
      <c r="B51" s="18"/>
      <c r="C51" s="18"/>
      <c r="D51" s="18"/>
      <c r="E51" s="18"/>
      <c r="F51" s="18"/>
      <c r="G51" s="18"/>
    </row>
    <row r="52" spans="1:7" ht="14.6" customHeight="1">
      <c r="A52" s="18" t="s">
        <v>506</v>
      </c>
      <c r="B52" s="18"/>
      <c r="C52" s="18"/>
      <c r="D52" s="18"/>
      <c r="E52" s="18"/>
      <c r="F52" s="18"/>
      <c r="G52" s="18"/>
    </row>
    <row r="54" spans="1:7">
      <c r="A54" s="7" t="s">
        <v>507</v>
      </c>
    </row>
    <row r="55" spans="1:7" ht="26" customHeight="1">
      <c r="A55" s="4" t="s">
        <v>3</v>
      </c>
      <c r="B55" s="6" t="s">
        <v>5</v>
      </c>
      <c r="C55" s="6" t="s">
        <v>6</v>
      </c>
    </row>
    <row r="56" spans="1:7">
      <c r="A56" s="8" t="s">
        <v>508</v>
      </c>
      <c r="B56" s="10">
        <f>'Note 14-19'!B10+'Note 14-19'!B13+'Note 14-19'!B46</f>
        <v>1019.74</v>
      </c>
      <c r="C56" s="10">
        <f>'Note 14-19'!C10+'Note 14-19'!C13+'Note 14-19'!C46</f>
        <v>1001.45</v>
      </c>
    </row>
    <row r="57" spans="1:7">
      <c r="A57" s="8" t="s">
        <v>509</v>
      </c>
      <c r="B57" s="10">
        <f>-'Note 6-11'!B65</f>
        <v>-1371.98</v>
      </c>
      <c r="C57" s="10">
        <f>-'Note 6-11'!C65</f>
        <v>-600.91</v>
      </c>
    </row>
    <row r="58" spans="1:7">
      <c r="A58" s="12" t="s">
        <v>510</v>
      </c>
      <c r="B58" s="13">
        <f>SUM(B56:B57)</f>
        <v>-352.24</v>
      </c>
      <c r="C58" s="13">
        <f>SUM(C56:C57)</f>
        <v>400.5400000000001</v>
      </c>
    </row>
    <row r="59" spans="1:7">
      <c r="A59" s="8" t="s">
        <v>31</v>
      </c>
      <c r="B59" s="10">
        <f>BS!C31</f>
        <v>1750.31</v>
      </c>
      <c r="C59" s="10">
        <f>BS!D31</f>
        <v>1250.31</v>
      </c>
    </row>
    <row r="60" spans="1:7">
      <c r="A60" s="8" t="s">
        <v>511</v>
      </c>
      <c r="B60" s="17">
        <f>B58/B59</f>
        <v>-0.2012443510006799</v>
      </c>
      <c r="C60" s="17">
        <f>C58/C59</f>
        <v>0.3203525525669635</v>
      </c>
    </row>
    <row r="62" spans="1:7">
      <c r="A62" s="7" t="s">
        <v>512</v>
      </c>
    </row>
    <row r="63" spans="1:7" ht="14.6" customHeight="1">
      <c r="A63" s="18" t="s">
        <v>513</v>
      </c>
      <c r="B63" s="18"/>
      <c r="C63" s="18"/>
      <c r="D63" s="18"/>
      <c r="E63" s="18"/>
      <c r="F63" s="18"/>
      <c r="G63" s="18"/>
    </row>
    <row r="64" spans="1:7" ht="14.6" customHeight="1">
      <c r="A64" s="18" t="s">
        <v>514</v>
      </c>
      <c r="B64" s="18"/>
      <c r="C64" s="18"/>
      <c r="D64" s="18"/>
      <c r="E64" s="18"/>
      <c r="F64" s="18"/>
      <c r="G64" s="18"/>
    </row>
    <row r="66" spans="1:4">
      <c r="A66" s="16" t="s">
        <v>52</v>
      </c>
      <c r="C66" s="16" t="s">
        <v>53</v>
      </c>
    </row>
    <row r="67" spans="1:4">
      <c r="A67" s="7" t="s">
        <v>54</v>
      </c>
      <c r="C67" s="7" t="s">
        <v>0</v>
      </c>
    </row>
    <row r="68" spans="1:4">
      <c r="A68" s="16" t="s">
        <v>55</v>
      </c>
      <c r="C68" s="16" t="s">
        <v>56</v>
      </c>
    </row>
    <row r="69" spans="1:4">
      <c r="A69" s="16" t="s">
        <v>57</v>
      </c>
    </row>
    <row r="72" spans="1:4">
      <c r="A72" s="7" t="s">
        <v>58</v>
      </c>
      <c r="C72" s="7" t="s">
        <v>59</v>
      </c>
      <c r="D72" s="7" t="s">
        <v>60</v>
      </c>
    </row>
    <row r="73" spans="1:4">
      <c r="A73" s="16" t="s">
        <v>61</v>
      </c>
      <c r="C73" s="16" t="s">
        <v>62</v>
      </c>
      <c r="D73" s="16" t="s">
        <v>62</v>
      </c>
    </row>
    <row r="74" spans="1:4">
      <c r="A74" s="16" t="s">
        <v>63</v>
      </c>
      <c r="C74" s="16" t="s">
        <v>64</v>
      </c>
      <c r="D74" s="16" t="s">
        <v>65</v>
      </c>
    </row>
    <row r="76" spans="1:4">
      <c r="A76" s="16" t="s">
        <v>66</v>
      </c>
      <c r="C76" s="16" t="s">
        <v>66</v>
      </c>
    </row>
    <row r="77" spans="1:4">
      <c r="A77" s="16" t="s">
        <v>67</v>
      </c>
      <c r="C77" s="16" t="s">
        <v>67</v>
      </c>
    </row>
  </sheetData>
  <mergeCells count="13">
    <mergeCell ref="A6:C6"/>
    <mergeCell ref="A7:C7"/>
    <mergeCell ref="A8:C8"/>
    <mergeCell ref="A9:C9"/>
    <mergeCell ref="A10:C10"/>
    <mergeCell ref="A11:C11"/>
    <mergeCell ref="A12:C12"/>
    <mergeCell ref="A13:C13"/>
    <mergeCell ref="A26:G26"/>
    <mergeCell ref="A51:G51"/>
    <mergeCell ref="A52:G52"/>
    <mergeCell ref="A63:G63"/>
    <mergeCell ref="A64:G64"/>
  </mergeCells>
  <pageMargins left="0.5" right="0.5" top="0.6" bottom="0.6" header="0.3" footer="0.3"/>
  <pageSetup paperSize="9" fitToHeight="0" orientation="landscape"/>
</worksheet>
</file>

<file path=xl/worksheets/sheet13.xml><?xml version="1.0" encoding="utf-8"?>
<worksheet xmlns="http://schemas.openxmlformats.org/spreadsheetml/2006/main" xmlns:r="http://schemas.openxmlformats.org/officeDocument/2006/relationships">
  <sheetPr>
    <pageSetUpPr fitToPage="1"/>
  </sheetPr>
  <dimension ref="A1:J83"/>
  <sheetViews>
    <sheetView showGridLines="0" workbookViewId="0"/>
  </sheetViews>
  <sheetFormatPr defaultRowHeight="15"/>
  <cols>
    <col min="1" max="1" width="10.7109375" customWidth="1"/>
    <col min="2" max="2" width="44.7109375" customWidth="1"/>
    <col min="3" max="3" width="14.7109375" customWidth="1"/>
    <col min="4" max="4" width="20.7109375" customWidth="1"/>
    <col min="5" max="6" width="26.7109375" customWidth="1"/>
    <col min="7" max="8" width="30.7109375" customWidth="1"/>
    <col min="9" max="10" width="16.7109375" customWidth="1"/>
  </cols>
  <sheetData>
    <row r="1" spans="1:10">
      <c r="A1" s="24" t="s">
        <v>0</v>
      </c>
    </row>
    <row r="2" spans="1:10">
      <c r="A2" s="25" t="s">
        <v>515</v>
      </c>
    </row>
    <row r="4" spans="1:10">
      <c r="A4" s="24" t="s">
        <v>516</v>
      </c>
      <c r="B4" s="24" t="s">
        <v>517</v>
      </c>
      <c r="C4" s="24" t="s">
        <v>518</v>
      </c>
      <c r="D4" s="24" t="s">
        <v>519</v>
      </c>
      <c r="E4" s="24" t="s">
        <v>520</v>
      </c>
      <c r="F4" s="24" t="s">
        <v>521</v>
      </c>
      <c r="G4" s="24" t="s">
        <v>522</v>
      </c>
      <c r="H4" s="24" t="s">
        <v>523</v>
      </c>
      <c r="I4" s="24" t="s">
        <v>524</v>
      </c>
      <c r="J4" s="24" t="s">
        <v>525</v>
      </c>
    </row>
    <row r="5" spans="1:10">
      <c r="A5" s="25" t="s">
        <v>526</v>
      </c>
      <c r="B5" s="25" t="s">
        <v>527</v>
      </c>
      <c r="C5" s="25" t="s">
        <v>528</v>
      </c>
      <c r="D5" s="25" t="s">
        <v>529</v>
      </c>
      <c r="E5" s="25" t="s">
        <v>530</v>
      </c>
      <c r="F5" s="25" t="s">
        <v>171</v>
      </c>
      <c r="G5" s="25" t="s">
        <v>527</v>
      </c>
      <c r="H5" s="25" t="s">
        <v>531</v>
      </c>
      <c r="I5" s="26">
        <v>64609000</v>
      </c>
      <c r="J5" s="26">
        <v>52377000</v>
      </c>
    </row>
    <row r="6" spans="1:10">
      <c r="A6" s="25" t="s">
        <v>532</v>
      </c>
      <c r="B6" s="25" t="s">
        <v>533</v>
      </c>
      <c r="C6" s="25" t="s">
        <v>528</v>
      </c>
      <c r="D6" s="25" t="s">
        <v>529</v>
      </c>
      <c r="E6" s="25" t="s">
        <v>530</v>
      </c>
      <c r="F6" s="25" t="s">
        <v>534</v>
      </c>
      <c r="G6" s="25" t="s">
        <v>533</v>
      </c>
      <c r="H6" s="25" t="s">
        <v>535</v>
      </c>
      <c r="I6" s="26">
        <v>20939000</v>
      </c>
      <c r="J6" s="26">
        <v>18171000</v>
      </c>
    </row>
    <row r="7" spans="1:10">
      <c r="A7" s="25" t="s">
        <v>536</v>
      </c>
      <c r="B7" s="25" t="s">
        <v>537</v>
      </c>
      <c r="C7" s="25" t="s">
        <v>528</v>
      </c>
      <c r="D7" s="25" t="s">
        <v>529</v>
      </c>
      <c r="E7" s="25" t="s">
        <v>530</v>
      </c>
      <c r="F7" s="25" t="s">
        <v>538</v>
      </c>
      <c r="G7" s="25" t="s">
        <v>537</v>
      </c>
      <c r="H7" s="25" t="s">
        <v>539</v>
      </c>
      <c r="I7" s="26">
        <v>13124000</v>
      </c>
      <c r="J7" s="26">
        <v>11178000</v>
      </c>
    </row>
    <row r="8" spans="1:10">
      <c r="A8" s="25" t="s">
        <v>540</v>
      </c>
      <c r="B8" s="25" t="s">
        <v>541</v>
      </c>
      <c r="C8" s="25" t="s">
        <v>528</v>
      </c>
      <c r="D8" s="25" t="s">
        <v>529</v>
      </c>
      <c r="E8" s="25" t="s">
        <v>530</v>
      </c>
      <c r="F8" s="25" t="s">
        <v>171</v>
      </c>
      <c r="G8" s="25" t="s">
        <v>541</v>
      </c>
      <c r="H8" s="25" t="s">
        <v>542</v>
      </c>
      <c r="I8" s="26">
        <v>-31327000</v>
      </c>
      <c r="J8" s="26">
        <v>-24049000</v>
      </c>
    </row>
    <row r="9" spans="1:10">
      <c r="A9" s="25" t="s">
        <v>543</v>
      </c>
      <c r="B9" s="25" t="s">
        <v>544</v>
      </c>
      <c r="C9" s="25" t="s">
        <v>528</v>
      </c>
      <c r="D9" s="25" t="s">
        <v>529</v>
      </c>
      <c r="E9" s="25" t="s">
        <v>530</v>
      </c>
      <c r="F9" s="25" t="s">
        <v>534</v>
      </c>
      <c r="G9" s="25" t="s">
        <v>544</v>
      </c>
      <c r="H9" s="25" t="s">
        <v>545</v>
      </c>
      <c r="I9" s="26">
        <v>-5962000</v>
      </c>
      <c r="J9" s="26">
        <v>-5475000</v>
      </c>
    </row>
    <row r="10" spans="1:10">
      <c r="A10" s="25" t="s">
        <v>546</v>
      </c>
      <c r="B10" s="25" t="s">
        <v>547</v>
      </c>
      <c r="C10" s="25" t="s">
        <v>528</v>
      </c>
      <c r="D10" s="25" t="s">
        <v>529</v>
      </c>
      <c r="E10" s="25" t="s">
        <v>530</v>
      </c>
      <c r="F10" s="25" t="s">
        <v>538</v>
      </c>
      <c r="G10" s="25" t="s">
        <v>547</v>
      </c>
      <c r="H10" s="25" t="s">
        <v>548</v>
      </c>
      <c r="I10" s="26">
        <v>-5603000</v>
      </c>
      <c r="J10" s="26">
        <v>-4388000</v>
      </c>
    </row>
    <row r="11" spans="1:10">
      <c r="A11" s="25" t="s">
        <v>549</v>
      </c>
      <c r="B11" s="25" t="s">
        <v>550</v>
      </c>
      <c r="C11" s="25" t="s">
        <v>528</v>
      </c>
      <c r="D11" s="25" t="s">
        <v>529</v>
      </c>
      <c r="E11" s="25" t="s">
        <v>550</v>
      </c>
      <c r="F11" s="25" t="s">
        <v>550</v>
      </c>
      <c r="G11" s="25" t="s">
        <v>550</v>
      </c>
      <c r="H11" s="25" t="s">
        <v>551</v>
      </c>
      <c r="I11" s="26">
        <v>1086000</v>
      </c>
      <c r="J11" s="26">
        <v>857000</v>
      </c>
    </row>
    <row r="12" spans="1:10">
      <c r="A12" s="25" t="s">
        <v>552</v>
      </c>
      <c r="B12" s="25" t="s">
        <v>553</v>
      </c>
      <c r="C12" s="25" t="s">
        <v>528</v>
      </c>
      <c r="D12" s="25" t="s">
        <v>529</v>
      </c>
      <c r="E12" s="25" t="s">
        <v>554</v>
      </c>
      <c r="F12" s="25" t="s">
        <v>553</v>
      </c>
      <c r="G12" s="25" t="s">
        <v>553</v>
      </c>
      <c r="H12" s="25" t="s">
        <v>555</v>
      </c>
      <c r="I12" s="26">
        <v>40333000</v>
      </c>
      <c r="J12" s="26">
        <v>36080000</v>
      </c>
    </row>
    <row r="13" spans="1:10">
      <c r="A13" s="25" t="s">
        <v>556</v>
      </c>
      <c r="B13" s="25" t="s">
        <v>557</v>
      </c>
      <c r="C13" s="25" t="s">
        <v>528</v>
      </c>
      <c r="D13" s="25" t="s">
        <v>529</v>
      </c>
      <c r="E13" s="25" t="s">
        <v>554</v>
      </c>
      <c r="F13" s="25" t="s">
        <v>557</v>
      </c>
      <c r="G13" s="25" t="s">
        <v>557</v>
      </c>
      <c r="H13" s="25" t="s">
        <v>558</v>
      </c>
      <c r="I13" s="26">
        <v>-22561000</v>
      </c>
      <c r="J13" s="26">
        <v>-16108000</v>
      </c>
    </row>
    <row r="14" spans="1:10">
      <c r="A14" s="25" t="s">
        <v>559</v>
      </c>
      <c r="B14" s="25" t="s">
        <v>560</v>
      </c>
      <c r="C14" s="25" t="s">
        <v>528</v>
      </c>
      <c r="D14" s="25" t="s">
        <v>529</v>
      </c>
      <c r="E14" s="25" t="s">
        <v>561</v>
      </c>
      <c r="F14" s="25" t="s">
        <v>560</v>
      </c>
      <c r="G14" s="25" t="s">
        <v>560</v>
      </c>
      <c r="H14" s="25" t="s">
        <v>562</v>
      </c>
      <c r="I14" s="26">
        <v>11894000</v>
      </c>
      <c r="J14" s="26">
        <v>9750000</v>
      </c>
    </row>
    <row r="15" spans="1:10">
      <c r="A15" s="25" t="s">
        <v>563</v>
      </c>
      <c r="B15" s="25" t="s">
        <v>564</v>
      </c>
      <c r="C15" s="25" t="s">
        <v>528</v>
      </c>
      <c r="D15" s="25" t="s">
        <v>529</v>
      </c>
      <c r="E15" s="25" t="s">
        <v>561</v>
      </c>
      <c r="F15" s="25" t="s">
        <v>564</v>
      </c>
      <c r="G15" s="25" t="s">
        <v>564</v>
      </c>
      <c r="H15" s="25" t="s">
        <v>565</v>
      </c>
      <c r="I15" s="26">
        <v>-6509000</v>
      </c>
      <c r="J15" s="26">
        <v>-4368000</v>
      </c>
    </row>
    <row r="16" spans="1:10">
      <c r="A16" s="25" t="s">
        <v>566</v>
      </c>
      <c r="B16" s="25" t="s">
        <v>567</v>
      </c>
      <c r="C16" s="25" t="s">
        <v>528</v>
      </c>
      <c r="D16" s="25" t="s">
        <v>529</v>
      </c>
      <c r="E16" s="25" t="s">
        <v>568</v>
      </c>
      <c r="F16" s="25" t="s">
        <v>567</v>
      </c>
      <c r="G16" s="25" t="s">
        <v>567</v>
      </c>
      <c r="H16" s="25" t="s">
        <v>569</v>
      </c>
      <c r="I16" s="26">
        <v>28284000</v>
      </c>
      <c r="J16" s="26">
        <v>25000000</v>
      </c>
    </row>
    <row r="17" spans="1:10">
      <c r="A17" s="25" t="s">
        <v>570</v>
      </c>
      <c r="B17" s="25" t="s">
        <v>571</v>
      </c>
      <c r="C17" s="25" t="s">
        <v>528</v>
      </c>
      <c r="D17" s="25" t="s">
        <v>529</v>
      </c>
      <c r="E17" s="25" t="s">
        <v>572</v>
      </c>
      <c r="F17" s="25" t="s">
        <v>571</v>
      </c>
      <c r="G17" s="25" t="s">
        <v>571</v>
      </c>
      <c r="H17" s="25" t="s">
        <v>573</v>
      </c>
      <c r="I17" s="26">
        <v>5344000</v>
      </c>
      <c r="J17" s="26">
        <v>4695000</v>
      </c>
    </row>
    <row r="18" spans="1:10">
      <c r="A18" s="25" t="s">
        <v>574</v>
      </c>
      <c r="B18" s="25" t="s">
        <v>575</v>
      </c>
      <c r="C18" s="25" t="s">
        <v>528</v>
      </c>
      <c r="D18" s="25" t="s">
        <v>529</v>
      </c>
      <c r="E18" s="25" t="s">
        <v>576</v>
      </c>
      <c r="F18" s="25" t="s">
        <v>575</v>
      </c>
      <c r="G18" s="25" t="s">
        <v>575</v>
      </c>
      <c r="H18" s="25" t="s">
        <v>577</v>
      </c>
      <c r="I18" s="26">
        <v>5252000</v>
      </c>
      <c r="J18" s="26">
        <v>4390000</v>
      </c>
    </row>
    <row r="19" spans="1:10">
      <c r="A19" s="25" t="s">
        <v>578</v>
      </c>
      <c r="B19" s="25" t="s">
        <v>579</v>
      </c>
      <c r="C19" s="25" t="s">
        <v>528</v>
      </c>
      <c r="D19" s="25" t="s">
        <v>529</v>
      </c>
      <c r="E19" s="25" t="s">
        <v>580</v>
      </c>
      <c r="F19" s="25" t="s">
        <v>579</v>
      </c>
      <c r="G19" s="25" t="s">
        <v>579</v>
      </c>
      <c r="H19" s="25" t="s">
        <v>581</v>
      </c>
      <c r="I19" s="26">
        <v>233000</v>
      </c>
      <c r="J19" s="26">
        <v>537000</v>
      </c>
    </row>
    <row r="20" spans="1:10">
      <c r="A20" s="25" t="s">
        <v>582</v>
      </c>
      <c r="B20" s="25" t="s">
        <v>583</v>
      </c>
      <c r="C20" s="25" t="s">
        <v>528</v>
      </c>
      <c r="D20" s="25" t="s">
        <v>584</v>
      </c>
      <c r="E20" s="25" t="s">
        <v>585</v>
      </c>
      <c r="F20" s="25" t="s">
        <v>583</v>
      </c>
      <c r="G20" s="25" t="s">
        <v>583</v>
      </c>
      <c r="H20" s="25" t="s">
        <v>586</v>
      </c>
      <c r="I20" s="26">
        <v>34487000</v>
      </c>
      <c r="J20" s="26">
        <v>26605000</v>
      </c>
    </row>
    <row r="21" spans="1:10">
      <c r="A21" s="25" t="s">
        <v>587</v>
      </c>
      <c r="B21" s="25" t="s">
        <v>588</v>
      </c>
      <c r="C21" s="25" t="s">
        <v>528</v>
      </c>
      <c r="D21" s="25" t="s">
        <v>584</v>
      </c>
      <c r="E21" s="25" t="s">
        <v>585</v>
      </c>
      <c r="F21" s="25" t="s">
        <v>588</v>
      </c>
      <c r="G21" s="25" t="s">
        <v>588</v>
      </c>
      <c r="H21" s="25" t="s">
        <v>586</v>
      </c>
      <c r="I21" s="26">
        <v>21433000</v>
      </c>
      <c r="J21" s="26">
        <v>17801000</v>
      </c>
    </row>
    <row r="22" spans="1:10">
      <c r="A22" s="25" t="s">
        <v>589</v>
      </c>
      <c r="B22" s="25" t="s">
        <v>590</v>
      </c>
      <c r="C22" s="25" t="s">
        <v>528</v>
      </c>
      <c r="D22" s="25" t="s">
        <v>584</v>
      </c>
      <c r="E22" s="25" t="s">
        <v>585</v>
      </c>
      <c r="F22" s="25" t="s">
        <v>591</v>
      </c>
      <c r="G22" s="25" t="s">
        <v>590</v>
      </c>
      <c r="H22" s="25" t="s">
        <v>592</v>
      </c>
      <c r="I22" s="26">
        <v>19575000</v>
      </c>
      <c r="J22" s="26">
        <v>14215000</v>
      </c>
    </row>
    <row r="23" spans="1:10">
      <c r="A23" s="25" t="s">
        <v>593</v>
      </c>
      <c r="B23" s="25" t="s">
        <v>594</v>
      </c>
      <c r="C23" s="25" t="s">
        <v>528</v>
      </c>
      <c r="D23" s="25" t="s">
        <v>584</v>
      </c>
      <c r="E23" s="25" t="s">
        <v>585</v>
      </c>
      <c r="F23" s="25" t="s">
        <v>594</v>
      </c>
      <c r="G23" s="25" t="s">
        <v>594</v>
      </c>
      <c r="H23" s="25" t="s">
        <v>595</v>
      </c>
      <c r="I23" s="26">
        <v>3308000</v>
      </c>
      <c r="J23" s="26">
        <v>2438000</v>
      </c>
    </row>
    <row r="24" spans="1:10">
      <c r="A24" s="25" t="s">
        <v>596</v>
      </c>
      <c r="B24" s="25" t="s">
        <v>597</v>
      </c>
      <c r="C24" s="25" t="s">
        <v>528</v>
      </c>
      <c r="D24" s="25" t="s">
        <v>584</v>
      </c>
      <c r="E24" s="25" t="s">
        <v>585</v>
      </c>
      <c r="F24" s="25" t="s">
        <v>597</v>
      </c>
      <c r="G24" s="25" t="s">
        <v>597</v>
      </c>
      <c r="H24" s="25" t="s">
        <v>598</v>
      </c>
      <c r="I24" s="26">
        <v>-3221000</v>
      </c>
      <c r="J24" s="26">
        <v>-2351000</v>
      </c>
    </row>
    <row r="25" spans="1:10">
      <c r="A25" s="25" t="s">
        <v>599</v>
      </c>
      <c r="B25" s="25" t="s">
        <v>600</v>
      </c>
      <c r="C25" s="25" t="s">
        <v>528</v>
      </c>
      <c r="D25" s="25" t="s">
        <v>584</v>
      </c>
      <c r="E25" s="25" t="s">
        <v>601</v>
      </c>
      <c r="F25" s="25" t="s">
        <v>600</v>
      </c>
      <c r="G25" s="25" t="s">
        <v>600</v>
      </c>
      <c r="H25" s="25" t="s">
        <v>602</v>
      </c>
      <c r="I25" s="26">
        <v>-681608000</v>
      </c>
      <c r="J25" s="26">
        <v>-331458000</v>
      </c>
    </row>
    <row r="26" spans="1:10">
      <c r="A26" s="25" t="s">
        <v>603</v>
      </c>
      <c r="B26" s="25" t="s">
        <v>604</v>
      </c>
      <c r="C26" s="25" t="s">
        <v>528</v>
      </c>
      <c r="D26" s="25" t="s">
        <v>584</v>
      </c>
      <c r="E26" s="25" t="s">
        <v>601</v>
      </c>
      <c r="F26" s="25" t="s">
        <v>604</v>
      </c>
      <c r="G26" s="25" t="s">
        <v>604</v>
      </c>
      <c r="H26" s="25" t="s">
        <v>602</v>
      </c>
      <c r="I26" s="26">
        <v>818640000</v>
      </c>
      <c r="J26" s="26">
        <v>391383000</v>
      </c>
    </row>
    <row r="27" spans="1:10">
      <c r="A27" s="25" t="s">
        <v>605</v>
      </c>
      <c r="B27" s="25" t="s">
        <v>606</v>
      </c>
      <c r="C27" s="25" t="s">
        <v>528</v>
      </c>
      <c r="D27" s="25" t="s">
        <v>584</v>
      </c>
      <c r="E27" s="25" t="s">
        <v>601</v>
      </c>
      <c r="F27" s="25" t="s">
        <v>606</v>
      </c>
      <c r="G27" s="25" t="s">
        <v>606</v>
      </c>
      <c r="H27" s="25" t="s">
        <v>607</v>
      </c>
      <c r="I27" s="26">
        <v>166000</v>
      </c>
      <c r="J27" s="26">
        <v>166000</v>
      </c>
    </row>
    <row r="28" spans="1:10">
      <c r="A28" s="25" t="s">
        <v>608</v>
      </c>
      <c r="B28" s="25" t="s">
        <v>609</v>
      </c>
      <c r="C28" s="25" t="s">
        <v>528</v>
      </c>
      <c r="D28" s="25" t="s">
        <v>584</v>
      </c>
      <c r="E28" s="25" t="s">
        <v>572</v>
      </c>
      <c r="F28" s="25" t="s">
        <v>609</v>
      </c>
      <c r="G28" s="25" t="s">
        <v>609</v>
      </c>
      <c r="H28" s="25" t="s">
        <v>610</v>
      </c>
      <c r="I28" s="26">
        <v>0</v>
      </c>
      <c r="J28" s="26">
        <v>0</v>
      </c>
    </row>
    <row r="29" spans="1:10">
      <c r="A29" s="25" t="s">
        <v>611</v>
      </c>
      <c r="B29" s="25" t="s">
        <v>612</v>
      </c>
      <c r="C29" s="25" t="s">
        <v>528</v>
      </c>
      <c r="D29" s="25" t="s">
        <v>584</v>
      </c>
      <c r="E29" s="25" t="s">
        <v>572</v>
      </c>
      <c r="F29" s="25" t="s">
        <v>612</v>
      </c>
      <c r="G29" s="25" t="s">
        <v>612</v>
      </c>
      <c r="H29" s="25" t="s">
        <v>613</v>
      </c>
      <c r="I29" s="26">
        <v>8048000</v>
      </c>
      <c r="J29" s="26">
        <v>6177000</v>
      </c>
    </row>
    <row r="30" spans="1:10">
      <c r="A30" s="25" t="s">
        <v>614</v>
      </c>
      <c r="B30" s="25" t="s">
        <v>615</v>
      </c>
      <c r="C30" s="25" t="s">
        <v>528</v>
      </c>
      <c r="D30" s="25" t="s">
        <v>584</v>
      </c>
      <c r="E30" s="25" t="s">
        <v>572</v>
      </c>
      <c r="F30" s="25" t="s">
        <v>616</v>
      </c>
      <c r="G30" s="25" t="s">
        <v>615</v>
      </c>
      <c r="H30" s="25" t="s">
        <v>617</v>
      </c>
      <c r="I30" s="26">
        <v>3100000</v>
      </c>
      <c r="J30" s="26">
        <v>2510000</v>
      </c>
    </row>
    <row r="31" spans="1:10">
      <c r="A31" s="25" t="s">
        <v>618</v>
      </c>
      <c r="B31" s="25" t="s">
        <v>619</v>
      </c>
      <c r="C31" s="25" t="s">
        <v>528</v>
      </c>
      <c r="D31" s="25" t="s">
        <v>584</v>
      </c>
      <c r="E31" s="25" t="s">
        <v>620</v>
      </c>
      <c r="F31" s="25" t="s">
        <v>619</v>
      </c>
      <c r="G31" s="25" t="s">
        <v>619</v>
      </c>
      <c r="H31" s="25" t="s">
        <v>621</v>
      </c>
      <c r="I31" s="26">
        <v>3770000</v>
      </c>
      <c r="J31" s="26">
        <v>3510000</v>
      </c>
    </row>
    <row r="32" spans="1:10">
      <c r="A32" s="25" t="s">
        <v>622</v>
      </c>
      <c r="B32" s="25" t="s">
        <v>623</v>
      </c>
      <c r="C32" s="25" t="s">
        <v>528</v>
      </c>
      <c r="D32" s="25" t="s">
        <v>584</v>
      </c>
      <c r="E32" s="25" t="s">
        <v>620</v>
      </c>
      <c r="F32" s="25" t="s">
        <v>623</v>
      </c>
      <c r="G32" s="25" t="s">
        <v>623</v>
      </c>
      <c r="H32" s="25" t="s">
        <v>624</v>
      </c>
      <c r="I32" s="26">
        <v>8014000</v>
      </c>
      <c r="J32" s="26">
        <v>6523000</v>
      </c>
    </row>
    <row r="33" spans="1:10">
      <c r="A33" s="25" t="s">
        <v>625</v>
      </c>
      <c r="B33" s="25" t="s">
        <v>626</v>
      </c>
      <c r="C33" s="25" t="s">
        <v>528</v>
      </c>
      <c r="D33" s="25" t="s">
        <v>584</v>
      </c>
      <c r="E33" s="25" t="s">
        <v>620</v>
      </c>
      <c r="F33" s="25" t="s">
        <v>626</v>
      </c>
      <c r="G33" s="25" t="s">
        <v>626</v>
      </c>
      <c r="H33" s="25" t="s">
        <v>627</v>
      </c>
      <c r="I33" s="26">
        <v>339000</v>
      </c>
      <c r="J33" s="26">
        <v>788000</v>
      </c>
    </row>
    <row r="34" spans="1:10">
      <c r="A34" s="25" t="s">
        <v>628</v>
      </c>
      <c r="B34" s="25" t="s">
        <v>629</v>
      </c>
      <c r="C34" s="25" t="s">
        <v>28</v>
      </c>
      <c r="D34" s="25" t="s">
        <v>28</v>
      </c>
      <c r="E34" s="25" t="s">
        <v>630</v>
      </c>
      <c r="F34" s="25" t="s">
        <v>629</v>
      </c>
      <c r="G34" s="25" t="s">
        <v>629</v>
      </c>
      <c r="H34" s="25" t="s">
        <v>631</v>
      </c>
      <c r="I34" s="26">
        <v>-105000000</v>
      </c>
      <c r="J34" s="26">
        <v>-100000000</v>
      </c>
    </row>
    <row r="35" spans="1:10">
      <c r="A35" s="25" t="s">
        <v>632</v>
      </c>
      <c r="B35" s="25" t="s">
        <v>633</v>
      </c>
      <c r="C35" s="25" t="s">
        <v>28</v>
      </c>
      <c r="D35" s="25" t="s">
        <v>28</v>
      </c>
      <c r="E35" s="25" t="s">
        <v>634</v>
      </c>
      <c r="F35" s="25" t="s">
        <v>633</v>
      </c>
      <c r="G35" s="25" t="s">
        <v>633</v>
      </c>
      <c r="H35" s="25" t="s">
        <v>635</v>
      </c>
      <c r="I35" s="26">
        <v>-195000000</v>
      </c>
      <c r="J35" s="26">
        <v>-150000000</v>
      </c>
    </row>
    <row r="36" spans="1:10">
      <c r="A36" s="25" t="s">
        <v>636</v>
      </c>
      <c r="B36" s="25" t="s">
        <v>637</v>
      </c>
      <c r="C36" s="25" t="s">
        <v>28</v>
      </c>
      <c r="D36" s="25" t="s">
        <v>28</v>
      </c>
      <c r="E36" s="25" t="s">
        <v>634</v>
      </c>
      <c r="F36" s="25" t="s">
        <v>637</v>
      </c>
      <c r="G36" s="25" t="s">
        <v>637</v>
      </c>
      <c r="H36" s="25" t="s">
        <v>638</v>
      </c>
      <c r="I36" s="26">
        <v>171753000</v>
      </c>
      <c r="J36" s="26">
        <v>152612000</v>
      </c>
    </row>
    <row r="37" spans="1:10">
      <c r="A37" s="25" t="s">
        <v>639</v>
      </c>
      <c r="B37" s="25" t="s">
        <v>640</v>
      </c>
      <c r="C37" s="25" t="s">
        <v>32</v>
      </c>
      <c r="D37" s="25" t="s">
        <v>641</v>
      </c>
      <c r="E37" s="25" t="s">
        <v>642</v>
      </c>
      <c r="F37" s="25" t="s">
        <v>640</v>
      </c>
      <c r="G37" s="25" t="s">
        <v>640</v>
      </c>
      <c r="H37" s="25" t="s">
        <v>643</v>
      </c>
      <c r="I37" s="26">
        <v>-22435000</v>
      </c>
      <c r="J37" s="26">
        <v>-20345000</v>
      </c>
    </row>
    <row r="38" spans="1:10">
      <c r="A38" s="25" t="s">
        <v>644</v>
      </c>
      <c r="B38" s="25" t="s">
        <v>645</v>
      </c>
      <c r="C38" s="25" t="s">
        <v>32</v>
      </c>
      <c r="D38" s="25" t="s">
        <v>641</v>
      </c>
      <c r="E38" s="25" t="s">
        <v>642</v>
      </c>
      <c r="F38" s="25" t="s">
        <v>646</v>
      </c>
      <c r="G38" s="25" t="s">
        <v>645</v>
      </c>
      <c r="H38" s="25" t="s">
        <v>647</v>
      </c>
      <c r="I38" s="26">
        <v>-52989000</v>
      </c>
      <c r="J38" s="26">
        <v>-53648000</v>
      </c>
    </row>
    <row r="39" spans="1:10">
      <c r="A39" s="25" t="s">
        <v>648</v>
      </c>
      <c r="B39" s="25" t="s">
        <v>649</v>
      </c>
      <c r="C39" s="25" t="s">
        <v>32</v>
      </c>
      <c r="D39" s="25" t="s">
        <v>650</v>
      </c>
      <c r="E39" s="25" t="s">
        <v>642</v>
      </c>
      <c r="F39" s="25" t="s">
        <v>649</v>
      </c>
      <c r="G39" s="25" t="s">
        <v>649</v>
      </c>
      <c r="H39" s="25" t="s">
        <v>651</v>
      </c>
      <c r="I39" s="26">
        <v>-7479000</v>
      </c>
      <c r="J39" s="26">
        <v>-6782000</v>
      </c>
    </row>
    <row r="40" spans="1:10">
      <c r="A40" s="25" t="s">
        <v>652</v>
      </c>
      <c r="B40" s="25" t="s">
        <v>653</v>
      </c>
      <c r="C40" s="25" t="s">
        <v>32</v>
      </c>
      <c r="D40" s="25" t="s">
        <v>641</v>
      </c>
      <c r="E40" s="25" t="s">
        <v>654</v>
      </c>
      <c r="F40" s="25" t="s">
        <v>653</v>
      </c>
      <c r="G40" s="25" t="s">
        <v>653</v>
      </c>
      <c r="H40" s="25" t="s">
        <v>655</v>
      </c>
      <c r="I40" s="26">
        <v>-13350000</v>
      </c>
      <c r="J40" s="26">
        <v>-13559000</v>
      </c>
    </row>
    <row r="41" spans="1:10">
      <c r="A41" s="25" t="s">
        <v>656</v>
      </c>
      <c r="B41" s="25" t="s">
        <v>657</v>
      </c>
      <c r="C41" s="25" t="s">
        <v>32</v>
      </c>
      <c r="D41" s="25" t="s">
        <v>650</v>
      </c>
      <c r="E41" s="25" t="s">
        <v>654</v>
      </c>
      <c r="F41" s="25" t="s">
        <v>657</v>
      </c>
      <c r="G41" s="25" t="s">
        <v>657</v>
      </c>
      <c r="H41" s="25" t="s">
        <v>658</v>
      </c>
      <c r="I41" s="26">
        <v>-5721000</v>
      </c>
      <c r="J41" s="26">
        <v>-5811000</v>
      </c>
    </row>
    <row r="42" spans="1:10">
      <c r="A42" s="25" t="s">
        <v>659</v>
      </c>
      <c r="B42" s="25" t="s">
        <v>660</v>
      </c>
      <c r="C42" s="25" t="s">
        <v>32</v>
      </c>
      <c r="D42" s="25" t="s">
        <v>641</v>
      </c>
      <c r="E42" s="25" t="s">
        <v>661</v>
      </c>
      <c r="F42" s="25" t="s">
        <v>660</v>
      </c>
      <c r="G42" s="25" t="s">
        <v>660</v>
      </c>
      <c r="H42" s="25" t="s">
        <v>662</v>
      </c>
      <c r="I42" s="26">
        <v>-16105000</v>
      </c>
      <c r="J42" s="26">
        <v>-12584000</v>
      </c>
    </row>
    <row r="43" spans="1:10">
      <c r="A43" s="25" t="s">
        <v>663</v>
      </c>
      <c r="B43" s="25" t="s">
        <v>664</v>
      </c>
      <c r="C43" s="25" t="s">
        <v>32</v>
      </c>
      <c r="D43" s="25" t="s">
        <v>650</v>
      </c>
      <c r="E43" s="25" t="s">
        <v>661</v>
      </c>
      <c r="F43" s="25" t="s">
        <v>664</v>
      </c>
      <c r="G43" s="25" t="s">
        <v>664</v>
      </c>
      <c r="H43" s="25" t="s">
        <v>665</v>
      </c>
      <c r="I43" s="26">
        <v>-1991000</v>
      </c>
      <c r="J43" s="26">
        <v>-1555000</v>
      </c>
    </row>
    <row r="44" spans="1:10">
      <c r="A44" s="25" t="s">
        <v>666</v>
      </c>
      <c r="B44" s="25" t="s">
        <v>667</v>
      </c>
      <c r="C44" s="25" t="s">
        <v>32</v>
      </c>
      <c r="D44" s="25" t="s">
        <v>650</v>
      </c>
      <c r="E44" s="25" t="s">
        <v>661</v>
      </c>
      <c r="F44" s="25" t="s">
        <v>667</v>
      </c>
      <c r="G44" s="25" t="s">
        <v>667</v>
      </c>
      <c r="H44" s="25" t="s">
        <v>668</v>
      </c>
      <c r="I44" s="26">
        <v>-4816000</v>
      </c>
      <c r="J44" s="26">
        <v>-3889000</v>
      </c>
    </row>
    <row r="45" spans="1:10">
      <c r="A45" s="25" t="s">
        <v>669</v>
      </c>
      <c r="B45" s="25" t="s">
        <v>670</v>
      </c>
      <c r="C45" s="25" t="s">
        <v>32</v>
      </c>
      <c r="D45" s="25" t="s">
        <v>650</v>
      </c>
      <c r="E45" s="25" t="s">
        <v>671</v>
      </c>
      <c r="F45" s="25" t="s">
        <v>670</v>
      </c>
      <c r="G45" s="25" t="s">
        <v>670</v>
      </c>
      <c r="H45" s="25" t="s">
        <v>672</v>
      </c>
      <c r="I45" s="26">
        <v>-1827000</v>
      </c>
      <c r="J45" s="26">
        <v>-1953000</v>
      </c>
    </row>
    <row r="46" spans="1:10">
      <c r="A46" s="25" t="s">
        <v>673</v>
      </c>
      <c r="B46" s="25" t="s">
        <v>674</v>
      </c>
      <c r="C46" s="25" t="s">
        <v>32</v>
      </c>
      <c r="D46" s="25" t="s">
        <v>650</v>
      </c>
      <c r="E46" s="25" t="s">
        <v>671</v>
      </c>
      <c r="F46" s="25" t="s">
        <v>674</v>
      </c>
      <c r="G46" s="25" t="s">
        <v>674</v>
      </c>
      <c r="H46" s="25" t="s">
        <v>675</v>
      </c>
      <c r="I46" s="26">
        <v>-14651000</v>
      </c>
      <c r="J46" s="26">
        <v>-14419000</v>
      </c>
    </row>
    <row r="47" spans="1:10">
      <c r="A47" s="25" t="s">
        <v>676</v>
      </c>
      <c r="B47" s="25" t="s">
        <v>677</v>
      </c>
      <c r="C47" s="25" t="s">
        <v>32</v>
      </c>
      <c r="D47" s="25" t="s">
        <v>650</v>
      </c>
      <c r="E47" s="25" t="s">
        <v>671</v>
      </c>
      <c r="F47" s="25" t="s">
        <v>678</v>
      </c>
      <c r="G47" s="25" t="s">
        <v>677</v>
      </c>
      <c r="H47" s="25" t="s">
        <v>679</v>
      </c>
      <c r="I47" s="26">
        <v>-10869000</v>
      </c>
      <c r="J47" s="26">
        <v>-10136000</v>
      </c>
    </row>
    <row r="48" spans="1:10">
      <c r="A48" s="25" t="s">
        <v>680</v>
      </c>
      <c r="B48" s="25" t="s">
        <v>681</v>
      </c>
      <c r="C48" s="25" t="s">
        <v>32</v>
      </c>
      <c r="D48" s="25" t="s">
        <v>650</v>
      </c>
      <c r="E48" s="25" t="s">
        <v>682</v>
      </c>
      <c r="F48" s="25" t="s">
        <v>681</v>
      </c>
      <c r="G48" s="25" t="s">
        <v>681</v>
      </c>
      <c r="H48" s="25" t="s">
        <v>683</v>
      </c>
      <c r="I48" s="26">
        <v>-13330000</v>
      </c>
      <c r="J48" s="26">
        <v>-13031000</v>
      </c>
    </row>
    <row r="49" spans="1:10">
      <c r="A49" s="25" t="s">
        <v>684</v>
      </c>
      <c r="B49" s="25" t="s">
        <v>685</v>
      </c>
      <c r="C49" s="25" t="s">
        <v>32</v>
      </c>
      <c r="D49" s="25" t="s">
        <v>650</v>
      </c>
      <c r="E49" s="25" t="s">
        <v>682</v>
      </c>
      <c r="F49" s="25" t="s">
        <v>685</v>
      </c>
      <c r="G49" s="25" t="s">
        <v>685</v>
      </c>
      <c r="H49" s="25" t="s">
        <v>686</v>
      </c>
      <c r="I49" s="26">
        <v>-394000</v>
      </c>
      <c r="J49" s="26">
        <v>-394000</v>
      </c>
    </row>
    <row r="50" spans="1:10">
      <c r="A50" s="25" t="s">
        <v>687</v>
      </c>
      <c r="B50" s="25" t="s">
        <v>688</v>
      </c>
      <c r="C50" s="25" t="s">
        <v>32</v>
      </c>
      <c r="D50" s="25" t="s">
        <v>650</v>
      </c>
      <c r="E50" s="25" t="s">
        <v>682</v>
      </c>
      <c r="F50" s="25" t="s">
        <v>688</v>
      </c>
      <c r="G50" s="25" t="s">
        <v>688</v>
      </c>
      <c r="H50" s="25" t="s">
        <v>689</v>
      </c>
      <c r="I50" s="26">
        <v>-846000</v>
      </c>
      <c r="J50" s="26">
        <v>-846000</v>
      </c>
    </row>
    <row r="51" spans="1:10">
      <c r="A51" s="25" t="s">
        <v>690</v>
      </c>
      <c r="B51" s="25" t="s">
        <v>691</v>
      </c>
      <c r="C51" s="25" t="s">
        <v>32</v>
      </c>
      <c r="D51" s="25" t="s">
        <v>650</v>
      </c>
      <c r="E51" s="25" t="s">
        <v>692</v>
      </c>
      <c r="F51" s="25" t="s">
        <v>691</v>
      </c>
      <c r="G51" s="25" t="s">
        <v>691</v>
      </c>
      <c r="H51" s="25" t="s">
        <v>693</v>
      </c>
      <c r="I51" s="26">
        <v>-3918000</v>
      </c>
      <c r="J51" s="26">
        <v>-3918000</v>
      </c>
    </row>
    <row r="52" spans="1:10">
      <c r="A52" s="25" t="s">
        <v>694</v>
      </c>
      <c r="B52" s="25" t="s">
        <v>695</v>
      </c>
      <c r="C52" s="25" t="s">
        <v>32</v>
      </c>
      <c r="D52" s="25" t="s">
        <v>650</v>
      </c>
      <c r="E52" s="25" t="s">
        <v>692</v>
      </c>
      <c r="F52" s="25" t="s">
        <v>695</v>
      </c>
      <c r="G52" s="25" t="s">
        <v>695</v>
      </c>
      <c r="H52" s="25" t="s">
        <v>693</v>
      </c>
      <c r="I52" s="26">
        <v>-2397000</v>
      </c>
      <c r="J52" s="26">
        <v>-2355000</v>
      </c>
    </row>
    <row r="53" spans="1:10">
      <c r="A53" s="25" t="s">
        <v>696</v>
      </c>
      <c r="B53" s="25" t="s">
        <v>697</v>
      </c>
      <c r="C53" s="25" t="s">
        <v>32</v>
      </c>
      <c r="D53" s="25" t="s">
        <v>650</v>
      </c>
      <c r="E53" s="25" t="s">
        <v>692</v>
      </c>
      <c r="F53" s="25" t="s">
        <v>697</v>
      </c>
      <c r="G53" s="25" t="s">
        <v>697</v>
      </c>
      <c r="H53" s="25" t="s">
        <v>698</v>
      </c>
      <c r="I53" s="26">
        <v>-4239000</v>
      </c>
      <c r="J53" s="26">
        <v>-3474000</v>
      </c>
    </row>
    <row r="54" spans="1:10">
      <c r="A54" s="25" t="s">
        <v>699</v>
      </c>
      <c r="B54" s="25" t="s">
        <v>700</v>
      </c>
      <c r="C54" s="25" t="s">
        <v>32</v>
      </c>
      <c r="D54" s="25" t="s">
        <v>650</v>
      </c>
      <c r="E54" s="25" t="s">
        <v>701</v>
      </c>
      <c r="F54" s="25" t="s">
        <v>700</v>
      </c>
      <c r="G54" s="25" t="s">
        <v>700</v>
      </c>
      <c r="H54" s="25" t="s">
        <v>702</v>
      </c>
      <c r="I54" s="26">
        <v>-2054000</v>
      </c>
      <c r="J54" s="26">
        <v>-43000</v>
      </c>
    </row>
    <row r="55" spans="1:10">
      <c r="A55" s="25" t="s">
        <v>703</v>
      </c>
      <c r="B55" s="25" t="s">
        <v>704</v>
      </c>
      <c r="C55" s="25" t="s">
        <v>705</v>
      </c>
      <c r="D55" s="25" t="s">
        <v>706</v>
      </c>
      <c r="E55" s="25" t="s">
        <v>707</v>
      </c>
      <c r="F55" s="25" t="s">
        <v>704</v>
      </c>
      <c r="G55" s="25" t="s">
        <v>704</v>
      </c>
      <c r="H55" s="25" t="s">
        <v>708</v>
      </c>
      <c r="I55" s="26">
        <v>-209852000</v>
      </c>
      <c r="J55" s="26">
        <v>-161765000</v>
      </c>
    </row>
    <row r="56" spans="1:10">
      <c r="A56" s="25" t="s">
        <v>709</v>
      </c>
      <c r="B56" s="25" t="s">
        <v>710</v>
      </c>
      <c r="C56" s="25" t="s">
        <v>705</v>
      </c>
      <c r="D56" s="25" t="s">
        <v>706</v>
      </c>
      <c r="E56" s="25" t="s">
        <v>707</v>
      </c>
      <c r="F56" s="25" t="s">
        <v>710</v>
      </c>
      <c r="G56" s="25" t="s">
        <v>710</v>
      </c>
      <c r="H56" s="25" t="s">
        <v>711</v>
      </c>
      <c r="I56" s="26">
        <v>-133958000</v>
      </c>
      <c r="J56" s="26">
        <v>-111254000</v>
      </c>
    </row>
    <row r="57" spans="1:10">
      <c r="A57" s="25" t="s">
        <v>712</v>
      </c>
      <c r="B57" s="25" t="s">
        <v>713</v>
      </c>
      <c r="C57" s="25" t="s">
        <v>705</v>
      </c>
      <c r="D57" s="25" t="s">
        <v>706</v>
      </c>
      <c r="E57" s="25" t="s">
        <v>714</v>
      </c>
      <c r="F57" s="25" t="s">
        <v>713</v>
      </c>
      <c r="G57" s="25" t="s">
        <v>713</v>
      </c>
      <c r="H57" s="25" t="s">
        <v>715</v>
      </c>
      <c r="I57" s="26">
        <v>-103027000</v>
      </c>
      <c r="J57" s="26">
        <v>-74818000</v>
      </c>
    </row>
    <row r="58" spans="1:10">
      <c r="A58" s="25" t="s">
        <v>716</v>
      </c>
      <c r="B58" s="25" t="s">
        <v>717</v>
      </c>
      <c r="C58" s="25" t="s">
        <v>705</v>
      </c>
      <c r="D58" s="25" t="s">
        <v>718</v>
      </c>
      <c r="E58" s="25" t="s">
        <v>719</v>
      </c>
      <c r="F58" s="25" t="s">
        <v>717</v>
      </c>
      <c r="G58" s="25" t="s">
        <v>717</v>
      </c>
      <c r="H58" s="25" t="s">
        <v>720</v>
      </c>
      <c r="I58" s="26">
        <v>-2957000</v>
      </c>
      <c r="J58" s="26">
        <v>-2125000</v>
      </c>
    </row>
    <row r="59" spans="1:10">
      <c r="A59" s="25" t="s">
        <v>721</v>
      </c>
      <c r="B59" s="25" t="s">
        <v>722</v>
      </c>
      <c r="C59" s="25" t="s">
        <v>705</v>
      </c>
      <c r="D59" s="25" t="s">
        <v>718</v>
      </c>
      <c r="E59" s="25" t="s">
        <v>723</v>
      </c>
      <c r="F59" s="25" t="s">
        <v>722</v>
      </c>
      <c r="G59" s="25" t="s">
        <v>722</v>
      </c>
      <c r="H59" s="25" t="s">
        <v>724</v>
      </c>
      <c r="I59" s="26">
        <v>-772000</v>
      </c>
      <c r="J59" s="26">
        <v>-585000</v>
      </c>
    </row>
    <row r="60" spans="1:10">
      <c r="A60" s="25" t="s">
        <v>725</v>
      </c>
      <c r="B60" s="25" t="s">
        <v>726</v>
      </c>
      <c r="C60" s="25" t="s">
        <v>727</v>
      </c>
      <c r="D60" s="25" t="s">
        <v>728</v>
      </c>
      <c r="E60" s="25" t="s">
        <v>729</v>
      </c>
      <c r="F60" s="25" t="s">
        <v>726</v>
      </c>
      <c r="G60" s="25" t="s">
        <v>726</v>
      </c>
      <c r="H60" s="25" t="s">
        <v>730</v>
      </c>
      <c r="I60" s="26">
        <v>220799000</v>
      </c>
      <c r="J60" s="26">
        <v>221785000</v>
      </c>
    </row>
    <row r="61" spans="1:10">
      <c r="A61" s="25" t="s">
        <v>731</v>
      </c>
      <c r="B61" s="25" t="s">
        <v>732</v>
      </c>
      <c r="C61" s="25" t="s">
        <v>727</v>
      </c>
      <c r="D61" s="25" t="s">
        <v>728</v>
      </c>
      <c r="E61" s="25" t="s">
        <v>729</v>
      </c>
      <c r="F61" s="25" t="s">
        <v>732</v>
      </c>
      <c r="G61" s="25" t="s">
        <v>732</v>
      </c>
      <c r="H61" s="25" t="s">
        <v>730</v>
      </c>
      <c r="I61" s="26">
        <v>22484000</v>
      </c>
      <c r="J61" s="26">
        <v>16121000</v>
      </c>
    </row>
    <row r="62" spans="1:10">
      <c r="A62" s="25" t="s">
        <v>733</v>
      </c>
      <c r="B62" s="25" t="s">
        <v>734</v>
      </c>
      <c r="C62" s="25" t="s">
        <v>727</v>
      </c>
      <c r="D62" s="25" t="s">
        <v>728</v>
      </c>
      <c r="E62" s="25" t="s">
        <v>735</v>
      </c>
      <c r="F62" s="25" t="s">
        <v>734</v>
      </c>
      <c r="G62" s="25" t="s">
        <v>734</v>
      </c>
      <c r="H62" s="25" t="s">
        <v>736</v>
      </c>
      <c r="I62" s="26">
        <v>14012000</v>
      </c>
      <c r="J62" s="26">
        <v>10964000</v>
      </c>
    </row>
    <row r="63" spans="1:10">
      <c r="A63" s="25" t="s">
        <v>737</v>
      </c>
      <c r="B63" s="25" t="s">
        <v>738</v>
      </c>
      <c r="C63" s="25" t="s">
        <v>727</v>
      </c>
      <c r="D63" s="25" t="s">
        <v>728</v>
      </c>
      <c r="E63" s="25" t="s">
        <v>739</v>
      </c>
      <c r="F63" s="25" t="s">
        <v>738</v>
      </c>
      <c r="G63" s="25" t="s">
        <v>738</v>
      </c>
      <c r="H63" s="25" t="s">
        <v>740</v>
      </c>
      <c r="I63" s="26">
        <v>3917000</v>
      </c>
      <c r="J63" s="26">
        <v>3669000</v>
      </c>
    </row>
    <row r="64" spans="1:10">
      <c r="A64" s="25" t="s">
        <v>741</v>
      </c>
      <c r="B64" s="25" t="s">
        <v>742</v>
      </c>
      <c r="C64" s="25" t="s">
        <v>727</v>
      </c>
      <c r="D64" s="25" t="s">
        <v>728</v>
      </c>
      <c r="E64" s="25" t="s">
        <v>742</v>
      </c>
      <c r="F64" s="25" t="s">
        <v>742</v>
      </c>
      <c r="G64" s="25" t="s">
        <v>742</v>
      </c>
      <c r="H64" s="25" t="s">
        <v>743</v>
      </c>
      <c r="I64" s="26">
        <v>3209000</v>
      </c>
      <c r="J64" s="26">
        <v>2758000</v>
      </c>
    </row>
    <row r="65" spans="1:10">
      <c r="A65" s="25" t="s">
        <v>744</v>
      </c>
      <c r="B65" s="25" t="s">
        <v>745</v>
      </c>
      <c r="C65" s="25" t="s">
        <v>727</v>
      </c>
      <c r="D65" s="25" t="s">
        <v>746</v>
      </c>
      <c r="E65" s="25" t="s">
        <v>747</v>
      </c>
      <c r="F65" s="25" t="s">
        <v>745</v>
      </c>
      <c r="G65" s="25" t="s">
        <v>745</v>
      </c>
      <c r="H65" s="25" t="s">
        <v>748</v>
      </c>
      <c r="I65" s="26">
        <v>2577000</v>
      </c>
      <c r="J65" s="26">
        <v>3567000</v>
      </c>
    </row>
    <row r="66" spans="1:10">
      <c r="A66" s="25" t="s">
        <v>749</v>
      </c>
      <c r="B66" s="25" t="s">
        <v>750</v>
      </c>
      <c r="C66" s="25" t="s">
        <v>727</v>
      </c>
      <c r="D66" s="25" t="s">
        <v>746</v>
      </c>
      <c r="E66" s="25" t="s">
        <v>747</v>
      </c>
      <c r="F66" s="25" t="s">
        <v>751</v>
      </c>
      <c r="G66" s="25" t="s">
        <v>750</v>
      </c>
      <c r="H66" s="25" t="s">
        <v>752</v>
      </c>
      <c r="I66" s="26">
        <v>4290000</v>
      </c>
      <c r="J66" s="26">
        <v>3280000</v>
      </c>
    </row>
    <row r="67" spans="1:10">
      <c r="A67" s="25" t="s">
        <v>753</v>
      </c>
      <c r="B67" s="25" t="s">
        <v>754</v>
      </c>
      <c r="C67" s="25" t="s">
        <v>727</v>
      </c>
      <c r="D67" s="25" t="s">
        <v>746</v>
      </c>
      <c r="E67" s="25" t="s">
        <v>747</v>
      </c>
      <c r="F67" s="25" t="s">
        <v>754</v>
      </c>
      <c r="G67" s="25" t="s">
        <v>754</v>
      </c>
      <c r="H67" s="25" t="s">
        <v>755</v>
      </c>
      <c r="I67" s="26">
        <v>1646000</v>
      </c>
      <c r="J67" s="26">
        <v>2152000</v>
      </c>
    </row>
    <row r="68" spans="1:10">
      <c r="A68" s="25" t="s">
        <v>756</v>
      </c>
      <c r="B68" s="25" t="s">
        <v>757</v>
      </c>
      <c r="C68" s="25" t="s">
        <v>727</v>
      </c>
      <c r="D68" s="25" t="s">
        <v>758</v>
      </c>
      <c r="E68" s="25" t="s">
        <v>759</v>
      </c>
      <c r="F68" s="25" t="s">
        <v>757</v>
      </c>
      <c r="G68" s="25" t="s">
        <v>757</v>
      </c>
      <c r="H68" s="25" t="s">
        <v>760</v>
      </c>
      <c r="I68" s="26">
        <v>10956000</v>
      </c>
      <c r="J68" s="26">
        <v>8759000</v>
      </c>
    </row>
    <row r="69" spans="1:10">
      <c r="A69" s="25" t="s">
        <v>761</v>
      </c>
      <c r="B69" s="25" t="s">
        <v>762</v>
      </c>
      <c r="C69" s="25" t="s">
        <v>727</v>
      </c>
      <c r="D69" s="25" t="s">
        <v>758</v>
      </c>
      <c r="E69" s="25" t="s">
        <v>759</v>
      </c>
      <c r="F69" s="25" t="s">
        <v>762</v>
      </c>
      <c r="G69" s="25" t="s">
        <v>762</v>
      </c>
      <c r="H69" s="25" t="s">
        <v>763</v>
      </c>
      <c r="I69" s="26">
        <v>6453000</v>
      </c>
      <c r="J69" s="26">
        <v>5773000</v>
      </c>
    </row>
    <row r="70" spans="1:10">
      <c r="A70" s="25" t="s">
        <v>764</v>
      </c>
      <c r="B70" s="25" t="s">
        <v>765</v>
      </c>
      <c r="C70" s="25" t="s">
        <v>727</v>
      </c>
      <c r="D70" s="25" t="s">
        <v>758</v>
      </c>
      <c r="E70" s="25" t="s">
        <v>766</v>
      </c>
      <c r="F70" s="25" t="s">
        <v>765</v>
      </c>
      <c r="G70" s="25" t="s">
        <v>765</v>
      </c>
      <c r="H70" s="25" t="s">
        <v>767</v>
      </c>
      <c r="I70" s="26">
        <v>2141000</v>
      </c>
      <c r="J70" s="26">
        <v>1755000</v>
      </c>
    </row>
    <row r="71" spans="1:10">
      <c r="A71" s="25" t="s">
        <v>768</v>
      </c>
      <c r="B71" s="25" t="s">
        <v>769</v>
      </c>
      <c r="C71" s="25" t="s">
        <v>727</v>
      </c>
      <c r="D71" s="25" t="s">
        <v>770</v>
      </c>
      <c r="E71" s="25" t="s">
        <v>771</v>
      </c>
      <c r="F71" s="25" t="s">
        <v>769</v>
      </c>
      <c r="G71" s="25" t="s">
        <v>769</v>
      </c>
      <c r="H71" s="25" t="s">
        <v>772</v>
      </c>
      <c r="I71" s="26">
        <v>13347000</v>
      </c>
      <c r="J71" s="26">
        <v>14396000</v>
      </c>
    </row>
    <row r="72" spans="1:10">
      <c r="A72" s="25" t="s">
        <v>773</v>
      </c>
      <c r="B72" s="25" t="s">
        <v>774</v>
      </c>
      <c r="C72" s="25" t="s">
        <v>727</v>
      </c>
      <c r="D72" s="25" t="s">
        <v>770</v>
      </c>
      <c r="E72" s="25" t="s">
        <v>775</v>
      </c>
      <c r="F72" s="25" t="s">
        <v>774</v>
      </c>
      <c r="G72" s="25" t="s">
        <v>774</v>
      </c>
      <c r="H72" s="25" t="s">
        <v>776</v>
      </c>
      <c r="I72" s="26">
        <v>8196000</v>
      </c>
      <c r="J72" s="26">
        <v>7680000</v>
      </c>
    </row>
    <row r="73" spans="1:10">
      <c r="A73" s="25" t="s">
        <v>777</v>
      </c>
      <c r="B73" s="25" t="s">
        <v>778</v>
      </c>
      <c r="C73" s="25" t="s">
        <v>727</v>
      </c>
      <c r="D73" s="25" t="s">
        <v>770</v>
      </c>
      <c r="E73" s="25" t="s">
        <v>779</v>
      </c>
      <c r="F73" s="25" t="s">
        <v>778</v>
      </c>
      <c r="G73" s="25" t="s">
        <v>778</v>
      </c>
      <c r="H73" s="25" t="s">
        <v>780</v>
      </c>
      <c r="I73" s="26">
        <v>3336000</v>
      </c>
      <c r="J73" s="26">
        <v>3059000</v>
      </c>
    </row>
    <row r="74" spans="1:10">
      <c r="A74" s="25" t="s">
        <v>781</v>
      </c>
      <c r="B74" s="25" t="s">
        <v>782</v>
      </c>
      <c r="C74" s="25" t="s">
        <v>727</v>
      </c>
      <c r="D74" s="25" t="s">
        <v>770</v>
      </c>
      <c r="E74" s="25" t="s">
        <v>783</v>
      </c>
      <c r="F74" s="25" t="s">
        <v>782</v>
      </c>
      <c r="G74" s="25" t="s">
        <v>782</v>
      </c>
      <c r="H74" s="25" t="s">
        <v>784</v>
      </c>
      <c r="I74" s="26">
        <v>10738000</v>
      </c>
      <c r="J74" s="26">
        <v>10359000</v>
      </c>
    </row>
    <row r="75" spans="1:10">
      <c r="A75" s="25" t="s">
        <v>785</v>
      </c>
      <c r="B75" s="25" t="s">
        <v>786</v>
      </c>
      <c r="C75" s="25" t="s">
        <v>727</v>
      </c>
      <c r="D75" s="25" t="s">
        <v>770</v>
      </c>
      <c r="E75" s="25" t="s">
        <v>661</v>
      </c>
      <c r="F75" s="25" t="s">
        <v>786</v>
      </c>
      <c r="G75" s="25" t="s">
        <v>786</v>
      </c>
      <c r="H75" s="25" t="s">
        <v>787</v>
      </c>
      <c r="I75" s="26">
        <v>870000</v>
      </c>
      <c r="J75" s="26">
        <v>801000</v>
      </c>
    </row>
    <row r="76" spans="1:10">
      <c r="A76" s="25" t="s">
        <v>788</v>
      </c>
      <c r="B76" s="25" t="s">
        <v>789</v>
      </c>
      <c r="C76" s="25" t="s">
        <v>727</v>
      </c>
      <c r="D76" s="25" t="s">
        <v>770</v>
      </c>
      <c r="E76" s="25" t="s">
        <v>789</v>
      </c>
      <c r="F76" s="25" t="s">
        <v>789</v>
      </c>
      <c r="G76" s="25" t="s">
        <v>789</v>
      </c>
      <c r="H76" s="25" t="s">
        <v>790</v>
      </c>
      <c r="I76" s="26">
        <v>1882000</v>
      </c>
      <c r="J76" s="26">
        <v>1880000</v>
      </c>
    </row>
    <row r="77" spans="1:10">
      <c r="A77" s="25" t="s">
        <v>791</v>
      </c>
      <c r="B77" s="25" t="s">
        <v>792</v>
      </c>
      <c r="C77" s="25" t="s">
        <v>727</v>
      </c>
      <c r="D77" s="25" t="s">
        <v>770</v>
      </c>
      <c r="E77" s="25" t="s">
        <v>793</v>
      </c>
      <c r="F77" s="25" t="s">
        <v>792</v>
      </c>
      <c r="G77" s="25" t="s">
        <v>792</v>
      </c>
      <c r="H77" s="25" t="s">
        <v>794</v>
      </c>
      <c r="I77" s="26">
        <v>51759000</v>
      </c>
      <c r="J77" s="26">
        <v>48265000</v>
      </c>
    </row>
    <row r="78" spans="1:10">
      <c r="A78" s="25" t="s">
        <v>795</v>
      </c>
      <c r="B78" s="25" t="s">
        <v>796</v>
      </c>
      <c r="C78" s="25" t="s">
        <v>727</v>
      </c>
      <c r="D78" s="25" t="s">
        <v>770</v>
      </c>
      <c r="E78" s="25" t="s">
        <v>797</v>
      </c>
      <c r="F78" s="25" t="s">
        <v>796</v>
      </c>
      <c r="G78" s="25" t="s">
        <v>796</v>
      </c>
      <c r="H78" s="25" t="s">
        <v>798</v>
      </c>
      <c r="I78" s="26">
        <v>3197000</v>
      </c>
      <c r="J78" s="26">
        <v>2679000</v>
      </c>
    </row>
    <row r="79" spans="1:10">
      <c r="A79" s="25" t="s">
        <v>799</v>
      </c>
      <c r="B79" s="25" t="s">
        <v>800</v>
      </c>
      <c r="C79" s="25" t="s">
        <v>727</v>
      </c>
      <c r="D79" s="25" t="s">
        <v>801</v>
      </c>
      <c r="E79" s="25" t="s">
        <v>802</v>
      </c>
      <c r="F79" s="25" t="s">
        <v>800</v>
      </c>
      <c r="G79" s="25" t="s">
        <v>800</v>
      </c>
      <c r="H79" s="25" t="s">
        <v>803</v>
      </c>
      <c r="I79" s="26">
        <v>17114000</v>
      </c>
      <c r="J79" s="26">
        <v>356000</v>
      </c>
    </row>
    <row r="80" spans="1:10">
      <c r="A80" s="25" t="s">
        <v>804</v>
      </c>
      <c r="B80" s="25" t="s">
        <v>805</v>
      </c>
      <c r="C80" s="25" t="s">
        <v>727</v>
      </c>
      <c r="D80" s="25" t="s">
        <v>801</v>
      </c>
      <c r="E80" s="25" t="s">
        <v>576</v>
      </c>
      <c r="F80" s="25" t="s">
        <v>805</v>
      </c>
      <c r="G80" s="25" t="s">
        <v>805</v>
      </c>
      <c r="H80" s="25" t="s">
        <v>806</v>
      </c>
      <c r="I80" s="26">
        <v>-616000</v>
      </c>
      <c r="J80" s="26">
        <v>-822000</v>
      </c>
    </row>
    <row r="81" spans="1:10">
      <c r="A81" s="25" t="s">
        <v>807</v>
      </c>
      <c r="B81" s="25" t="s">
        <v>808</v>
      </c>
      <c r="C81" s="25" t="s">
        <v>727</v>
      </c>
      <c r="D81" s="25" t="s">
        <v>809</v>
      </c>
      <c r="E81" s="25" t="s">
        <v>810</v>
      </c>
      <c r="F81" s="25" t="s">
        <v>808</v>
      </c>
      <c r="G81" s="25" t="s">
        <v>808</v>
      </c>
      <c r="H81" s="25" t="s">
        <v>811</v>
      </c>
      <c r="I81" s="26">
        <v>976000</v>
      </c>
      <c r="J81" s="26">
        <v>651000</v>
      </c>
    </row>
    <row r="82" spans="1:10">
      <c r="A82" s="25" t="s">
        <v>812</v>
      </c>
      <c r="B82" s="25" t="s">
        <v>813</v>
      </c>
      <c r="C82" s="25" t="s">
        <v>727</v>
      </c>
      <c r="D82" s="25" t="s">
        <v>809</v>
      </c>
      <c r="E82" s="25" t="s">
        <v>814</v>
      </c>
      <c r="F82" s="25" t="s">
        <v>813</v>
      </c>
      <c r="G82" s="25" t="s">
        <v>813</v>
      </c>
      <c r="H82" s="25" t="s">
        <v>815</v>
      </c>
      <c r="I82" s="26">
        <v>-246000</v>
      </c>
      <c r="J82" s="26">
        <v>-164000</v>
      </c>
    </row>
    <row r="83" spans="1:10">
      <c r="B83" s="24" t="s">
        <v>174</v>
      </c>
      <c r="I83" s="26">
        <f>SUM(I5:I82)</f>
        <v>0.0</v>
      </c>
      <c r="J83" s="26">
        <f>SUM(J5:J82)</f>
        <v>0.0</v>
      </c>
    </row>
  </sheetData>
  <pageMargins left="0.5" right="0.5" top="0.6" bottom="0.6" header="0.3" footer="0.3"/>
  <pageSetup paperSize="9" fitToHeight="0" orientation="portrait"/>
</worksheet>
</file>

<file path=xl/worksheets/sheet14.xml><?xml version="1.0" encoding="utf-8"?>
<worksheet xmlns="http://schemas.openxmlformats.org/spreadsheetml/2006/main" xmlns:r="http://schemas.openxmlformats.org/officeDocument/2006/relationships">
  <sheetPr>
    <pageSetUpPr fitToPage="1"/>
  </sheetPr>
  <dimension ref="A1:J27"/>
  <sheetViews>
    <sheetView showGridLines="0" workbookViewId="0"/>
  </sheetViews>
  <sheetFormatPr defaultRowHeight="15"/>
  <cols>
    <col min="1" max="1" width="34.7109375" customWidth="1"/>
    <col min="2" max="10" width="16.7109375" customWidth="1"/>
  </cols>
  <sheetData>
    <row r="1" spans="1:10">
      <c r="A1" s="24" t="s">
        <v>0</v>
      </c>
    </row>
    <row r="2" spans="1:10">
      <c r="A2" s="25" t="s">
        <v>816</v>
      </c>
    </row>
    <row r="4" spans="1:10" ht="26" customHeight="1">
      <c r="A4" s="4" t="s">
        <v>817</v>
      </c>
      <c r="B4" s="6" t="s">
        <v>818</v>
      </c>
      <c r="C4" s="6" t="s">
        <v>819</v>
      </c>
      <c r="D4" s="6" t="s">
        <v>177</v>
      </c>
      <c r="E4" s="6" t="s">
        <v>820</v>
      </c>
      <c r="F4" s="6" t="s">
        <v>821</v>
      </c>
      <c r="G4" s="6" t="s">
        <v>180</v>
      </c>
      <c r="H4" s="6" t="s">
        <v>822</v>
      </c>
      <c r="I4" s="6" t="s">
        <v>823</v>
      </c>
      <c r="J4" s="6" t="s">
        <v>824</v>
      </c>
    </row>
    <row r="5" spans="1:10">
      <c r="A5" s="24" t="s">
        <v>825</v>
      </c>
    </row>
    <row r="6" spans="1:10">
      <c r="A6" s="25" t="s">
        <v>171</v>
      </c>
      <c r="B6" s="26">
        <v>39780000</v>
      </c>
      <c r="C6" s="26">
        <v>14188000</v>
      </c>
      <c r="D6" s="26">
        <v>1591000</v>
      </c>
      <c r="E6" s="26">
        <f t="shared" ref="E6:E8" si="0">B6+C6-D6</f>
        <v>52377000.0</v>
      </c>
      <c r="F6" s="26">
        <v>18306000</v>
      </c>
      <c r="G6" s="26">
        <v>6857000</v>
      </c>
      <c r="H6" s="26">
        <v>1114000</v>
      </c>
      <c r="I6" s="26">
        <f t="shared" ref="I6:I8" si="2">F6+G6-H6</f>
        <v>24049000.0</v>
      </c>
      <c r="J6" s="26">
        <f t="shared" ref="J6:J8" si="4">E6-I6</f>
        <v>28328000.0</v>
      </c>
    </row>
    <row r="7" spans="1:10">
      <c r="A7" s="25" t="s">
        <v>172</v>
      </c>
      <c r="B7" s="26">
        <v>16115000</v>
      </c>
      <c r="C7" s="26">
        <v>2701000</v>
      </c>
      <c r="D7" s="26">
        <v>645000</v>
      </c>
      <c r="E7" s="26">
        <f t="shared" si="0"/>
        <v>18171000.0</v>
      </c>
      <c r="F7" s="26">
        <v>5054000</v>
      </c>
      <c r="G7" s="26">
        <v>873000</v>
      </c>
      <c r="H7" s="26">
        <v>452000</v>
      </c>
      <c r="I7" s="26">
        <f t="shared" si="2"/>
        <v>5475000.0</v>
      </c>
      <c r="J7" s="26">
        <f t="shared" si="4"/>
        <v>12696000.0</v>
      </c>
    </row>
    <row r="8" spans="1:10">
      <c r="A8" s="25" t="s">
        <v>173</v>
      </c>
      <c r="B8" s="26">
        <v>9408000</v>
      </c>
      <c r="C8" s="26">
        <v>1770000</v>
      </c>
      <c r="D8" s="26">
        <v>0</v>
      </c>
      <c r="E8" s="26">
        <f t="shared" si="0"/>
        <v>11178000.0</v>
      </c>
      <c r="F8" s="26">
        <v>3359000</v>
      </c>
      <c r="G8" s="26">
        <v>1029000</v>
      </c>
      <c r="H8" s="26">
        <v>0</v>
      </c>
      <c r="I8" s="26">
        <f t="shared" si="2"/>
        <v>4388000.0</v>
      </c>
      <c r="J8" s="26">
        <f t="shared" si="4"/>
        <v>6790000.0</v>
      </c>
    </row>
    <row r="9" spans="1:10">
      <c r="A9" s="24" t="s">
        <v>174</v>
      </c>
      <c r="B9" s="26">
        <f>SUM(B6:B8)</f>
        <v>65303000.0</v>
      </c>
      <c r="C9" s="26">
        <f>SUM(C6:C8)</f>
        <v>18659000.0</v>
      </c>
      <c r="D9" s="26">
        <f>SUM(D6:D8)</f>
        <v>2236000.0</v>
      </c>
      <c r="E9" s="26">
        <f>SUM(E6:E8)</f>
        <v>81726000.0</v>
      </c>
      <c r="F9" s="26">
        <f>SUM(F6:F8)</f>
        <v>26719000.0</v>
      </c>
      <c r="G9" s="26">
        <f>SUM(G6:G8)</f>
        <v>8759000.0</v>
      </c>
      <c r="H9" s="26">
        <f>SUM(H6:H8)</f>
        <v>1566000.0</v>
      </c>
      <c r="I9" s="26">
        <f>SUM(I6:I8)</f>
        <v>33912000.0</v>
      </c>
      <c r="J9" s="26">
        <f>SUM(J6:J8)</f>
        <v>47814000.0</v>
      </c>
    </row>
    <row r="11" spans="1:10">
      <c r="A11" s="24" t="s">
        <v>826</v>
      </c>
    </row>
    <row r="12" spans="1:10">
      <c r="A12" s="25" t="s">
        <v>171</v>
      </c>
      <c r="B12" s="26">
        <f t="shared" ref="B12:B14" si="6">E6</f>
        <v>52377000.0</v>
      </c>
      <c r="C12" s="26">
        <v>14327000</v>
      </c>
      <c r="D12" s="26">
        <v>2095000</v>
      </c>
      <c r="E12" s="26">
        <f t="shared" ref="E12:E14" si="1">B12+C12-D12</f>
        <v>64609000.0</v>
      </c>
      <c r="F12" s="26">
        <f t="shared" ref="F12:F14" si="7">I6</f>
        <v>24049000.0</v>
      </c>
      <c r="G12" s="26">
        <v>8745000</v>
      </c>
      <c r="H12" s="26">
        <v>1467000</v>
      </c>
      <c r="I12" s="26">
        <f t="shared" ref="I12:I14" si="3">F12+G12-H12</f>
        <v>31327000.0</v>
      </c>
      <c r="J12" s="26">
        <f t="shared" ref="J12:J14" si="5">E12-I12</f>
        <v>33282000.0</v>
      </c>
    </row>
    <row r="13" spans="1:10">
      <c r="A13" s="25" t="s">
        <v>172</v>
      </c>
      <c r="B13" s="26">
        <f t="shared" si="6"/>
        <v>18171000.0</v>
      </c>
      <c r="C13" s="26">
        <v>3495000</v>
      </c>
      <c r="D13" s="26">
        <v>727000</v>
      </c>
      <c r="E13" s="26">
        <f t="shared" si="1"/>
        <v>20939000.0</v>
      </c>
      <c r="F13" s="26">
        <f t="shared" si="7"/>
        <v>5475000.0</v>
      </c>
      <c r="G13" s="26">
        <v>996000</v>
      </c>
      <c r="H13" s="26">
        <v>509000</v>
      </c>
      <c r="I13" s="26">
        <f t="shared" si="3"/>
        <v>5962000.0</v>
      </c>
      <c r="J13" s="26">
        <f t="shared" si="5"/>
        <v>14977000.0</v>
      </c>
    </row>
    <row r="14" spans="1:10">
      <c r="A14" s="25" t="s">
        <v>173</v>
      </c>
      <c r="B14" s="26">
        <f t="shared" si="6"/>
        <v>11178000.0</v>
      </c>
      <c r="C14" s="26">
        <v>1946000</v>
      </c>
      <c r="D14" s="26">
        <v>0</v>
      </c>
      <c r="E14" s="26">
        <f t="shared" si="1"/>
        <v>13124000.0</v>
      </c>
      <c r="F14" s="26">
        <f t="shared" si="7"/>
        <v>4388000.0</v>
      </c>
      <c r="G14" s="26">
        <v>1215000</v>
      </c>
      <c r="H14" s="26">
        <v>0</v>
      </c>
      <c r="I14" s="26">
        <f t="shared" si="3"/>
        <v>5603000.0</v>
      </c>
      <c r="J14" s="26">
        <f t="shared" si="5"/>
        <v>7521000.0</v>
      </c>
    </row>
    <row r="15" spans="1:10">
      <c r="A15" s="24" t="s">
        <v>174</v>
      </c>
      <c r="B15" s="26">
        <f>SUM(B12:B14)</f>
        <v>81726000.0</v>
      </c>
      <c r="C15" s="26">
        <f>SUM(C12:C14)</f>
        <v>19768000.0</v>
      </c>
      <c r="D15" s="26">
        <f>SUM(D12:D14)</f>
        <v>2822000.0</v>
      </c>
      <c r="E15" s="26">
        <f>SUM(E12:E14)</f>
        <v>98672000.0</v>
      </c>
      <c r="F15" s="26">
        <f>SUM(F12:F14)</f>
        <v>33912000.0</v>
      </c>
      <c r="G15" s="26">
        <f>SUM(G12:G14)</f>
        <v>10956000.0</v>
      </c>
      <c r="H15" s="26">
        <f>SUM(H12:H14)</f>
        <v>1976000.0</v>
      </c>
      <c r="I15" s="26">
        <f>SUM(I12:I14)</f>
        <v>42892000.0</v>
      </c>
      <c r="J15" s="26">
        <f>SUM(J12:J14)</f>
        <v>55780000.0</v>
      </c>
    </row>
    <row r="17" spans="1:10">
      <c r="A17" s="24" t="s">
        <v>827</v>
      </c>
    </row>
    <row r="18" spans="1:10">
      <c r="A18" s="25" t="s">
        <v>828</v>
      </c>
      <c r="B18" s="26">
        <v>36080000</v>
      </c>
      <c r="C18" s="26">
        <v>0</v>
      </c>
      <c r="D18" s="26">
        <v>0</v>
      </c>
      <c r="E18" s="26">
        <f>B18+C18-D18</f>
        <v>36080000.0</v>
      </c>
      <c r="F18" s="26">
        <v>10335000</v>
      </c>
      <c r="G18" s="26">
        <v>5773000</v>
      </c>
      <c r="H18" s="26">
        <v>0</v>
      </c>
      <c r="I18" s="26">
        <f>F18+G18-H18</f>
        <v>16108000.0</v>
      </c>
      <c r="J18" s="26">
        <f>E18-I18</f>
        <v>19972000.0</v>
      </c>
    </row>
    <row r="19" spans="1:10">
      <c r="A19" s="25" t="s">
        <v>829</v>
      </c>
      <c r="B19" s="26">
        <f>E18</f>
        <v>36080000.0</v>
      </c>
      <c r="C19" s="26">
        <v>4253000</v>
      </c>
      <c r="D19" s="26">
        <v>0</v>
      </c>
      <c r="E19" s="26">
        <f>B19+C19-D19</f>
        <v>40333000.0</v>
      </c>
      <c r="F19" s="26">
        <f>I18</f>
        <v>16108000.0</v>
      </c>
      <c r="G19" s="26">
        <v>6453000</v>
      </c>
      <c r="H19" s="26">
        <v>0</v>
      </c>
      <c r="I19" s="26">
        <f>F19+G19-H19</f>
        <v>22561000.0</v>
      </c>
      <c r="J19" s="26">
        <f>E19-I19</f>
        <v>17772000.0</v>
      </c>
    </row>
    <row r="21" spans="1:10">
      <c r="A21" s="24" t="s">
        <v>189</v>
      </c>
    </row>
    <row r="22" spans="1:10">
      <c r="A22" s="25" t="s">
        <v>828</v>
      </c>
      <c r="B22" s="26">
        <v>7841000</v>
      </c>
      <c r="C22" s="26">
        <v>1909000</v>
      </c>
      <c r="D22" s="26">
        <v>0</v>
      </c>
      <c r="E22" s="26">
        <f>B22+C22-D22</f>
        <v>9750000.0</v>
      </c>
      <c r="F22" s="26">
        <v>2613000</v>
      </c>
      <c r="G22" s="26">
        <v>1755000</v>
      </c>
      <c r="H22" s="26">
        <v>0</v>
      </c>
      <c r="I22" s="26">
        <f>F22+G22-H22</f>
        <v>4368000.0</v>
      </c>
      <c r="J22" s="26">
        <f>E22-I22</f>
        <v>5382000.0</v>
      </c>
    </row>
    <row r="23" spans="1:10">
      <c r="A23" s="25" t="s">
        <v>829</v>
      </c>
      <c r="B23" s="26">
        <f>E22</f>
        <v>9750000.0</v>
      </c>
      <c r="C23" s="26">
        <v>2144000</v>
      </c>
      <c r="D23" s="26">
        <v>0</v>
      </c>
      <c r="E23" s="26">
        <f>B23+C23-D23</f>
        <v>11894000.0</v>
      </c>
      <c r="F23" s="26">
        <f>I22</f>
        <v>4368000.0</v>
      </c>
      <c r="G23" s="26">
        <v>2141000</v>
      </c>
      <c r="H23" s="26">
        <v>0</v>
      </c>
      <c r="I23" s="26">
        <f>F23+G23-H23</f>
        <v>6509000.0</v>
      </c>
      <c r="J23" s="26">
        <f>E23-I23</f>
        <v>5385000.0</v>
      </c>
    </row>
    <row r="25" spans="1:10">
      <c r="A25" s="24" t="s">
        <v>830</v>
      </c>
    </row>
    <row r="26" spans="1:10">
      <c r="A26" s="25" t="s">
        <v>828</v>
      </c>
      <c r="B26" s="26">
        <v>1041000</v>
      </c>
      <c r="C26" s="26">
        <v>2142000</v>
      </c>
      <c r="D26" s="26">
        <v>2326000</v>
      </c>
      <c r="E26" s="26">
        <f>B26+C26-D26</f>
        <v>857000.0</v>
      </c>
    </row>
    <row r="27" spans="1:10">
      <c r="A27" s="25" t="s">
        <v>829</v>
      </c>
      <c r="B27" s="26">
        <f>E26</f>
        <v>857000.0</v>
      </c>
      <c r="C27" s="26">
        <v>2715000</v>
      </c>
      <c r="D27" s="26">
        <v>2486000</v>
      </c>
      <c r="E27" s="26">
        <f>B27+C27-D27</f>
        <v>1086000.0</v>
      </c>
    </row>
  </sheetData>
  <pageMargins left="0.5" right="0.5" top="0.6" bottom="0.6" header="0.3" footer="0.3"/>
  <pageSetup paperSize="9" fitToHeight="0" orientation="portrait"/>
</worksheet>
</file>

<file path=xl/worksheets/sheet15.xml><?xml version="1.0" encoding="utf-8"?>
<worksheet xmlns="http://schemas.openxmlformats.org/spreadsheetml/2006/main" xmlns:r="http://schemas.openxmlformats.org/officeDocument/2006/relationships">
  <sheetPr>
    <pageSetUpPr fitToPage="1"/>
  </sheetPr>
  <dimension ref="A1:H24"/>
  <sheetViews>
    <sheetView showGridLines="0" workbookViewId="0"/>
  </sheetViews>
  <sheetFormatPr defaultRowHeight="15"/>
  <cols>
    <col min="1" max="1" width="36.7109375" customWidth="1"/>
    <col min="2" max="8" width="16.7109375" customWidth="1"/>
  </cols>
  <sheetData>
    <row r="1" spans="1:8">
      <c r="A1" s="24" t="s">
        <v>0</v>
      </c>
    </row>
    <row r="2" spans="1:8">
      <c r="A2" s="25" t="s">
        <v>831</v>
      </c>
    </row>
    <row r="4" spans="1:8" ht="26" customHeight="1">
      <c r="A4" s="4" t="s">
        <v>438</v>
      </c>
      <c r="B4" s="6" t="s">
        <v>221</v>
      </c>
      <c r="C4" s="6" t="s">
        <v>222</v>
      </c>
      <c r="D4" s="6" t="s">
        <v>223</v>
      </c>
      <c r="E4" s="6" t="s">
        <v>224</v>
      </c>
      <c r="F4" s="6" t="s">
        <v>225</v>
      </c>
      <c r="G4" s="6" t="s">
        <v>226</v>
      </c>
      <c r="H4" s="6" t="s">
        <v>174</v>
      </c>
    </row>
    <row r="5" spans="1:8">
      <c r="A5" s="24" t="s">
        <v>183</v>
      </c>
    </row>
    <row r="6" spans="1:8">
      <c r="A6" s="25" t="s">
        <v>832</v>
      </c>
      <c r="B6" s="26">
        <v>39257000</v>
      </c>
      <c r="C6" s="26">
        <v>23528000</v>
      </c>
      <c r="D6" s="26">
        <v>6795000</v>
      </c>
      <c r="E6" s="26">
        <v>3775000</v>
      </c>
      <c r="F6" s="26">
        <v>1510000</v>
      </c>
      <c r="G6" s="26">
        <v>755000</v>
      </c>
      <c r="H6" s="26">
        <f>SUM(B6:G6)</f>
        <v>75620000.0</v>
      </c>
    </row>
    <row r="7" spans="1:8">
      <c r="A7" s="25" t="s">
        <v>833</v>
      </c>
      <c r="B7" s="26">
        <v>0</v>
      </c>
      <c r="C7" s="26">
        <v>0</v>
      </c>
      <c r="D7" s="26">
        <v>0</v>
      </c>
      <c r="E7" s="26">
        <v>0</v>
      </c>
      <c r="F7" s="26">
        <v>0</v>
      </c>
      <c r="G7" s="26">
        <v>3308000</v>
      </c>
      <c r="H7" s="26">
        <f>SUM(B7:G7)</f>
        <v>3308000.0</v>
      </c>
    </row>
    <row r="8" spans="1:8">
      <c r="A8" s="24" t="s">
        <v>174</v>
      </c>
      <c r="B8" s="26">
        <f>SUM(B6:B7)</f>
        <v>39257000.0</v>
      </c>
      <c r="C8" s="26">
        <f>SUM(C6:C7)</f>
        <v>23528000.0</v>
      </c>
      <c r="D8" s="26">
        <f>SUM(D6:D7)</f>
        <v>6795000.0</v>
      </c>
      <c r="E8" s="26">
        <f>SUM(E6:E7)</f>
        <v>3775000.0</v>
      </c>
      <c r="F8" s="26">
        <f>SUM(F6:F7)</f>
        <v>1510000.0</v>
      </c>
      <c r="G8" s="26">
        <f>SUM(G6:G7)</f>
        <v>4063000.0</v>
      </c>
      <c r="H8" s="26">
        <f>SUM(H6:H7)</f>
        <v>78928000.0</v>
      </c>
    </row>
    <row r="10" spans="1:8">
      <c r="A10" s="24" t="s">
        <v>182</v>
      </c>
    </row>
    <row r="11" spans="1:8">
      <c r="A11" s="25" t="s">
        <v>832</v>
      </c>
      <c r="B11" s="26">
        <v>30483000</v>
      </c>
      <c r="C11" s="26">
        <v>18173000</v>
      </c>
      <c r="D11" s="26">
        <v>5276000</v>
      </c>
      <c r="E11" s="26">
        <v>2931000</v>
      </c>
      <c r="F11" s="26">
        <v>1172000</v>
      </c>
      <c r="G11" s="26">
        <v>586000</v>
      </c>
      <c r="H11" s="26">
        <f>SUM(B11:G11)</f>
        <v>58621000.0</v>
      </c>
    </row>
    <row r="12" spans="1:8">
      <c r="A12" s="25" t="s">
        <v>833</v>
      </c>
      <c r="B12" s="26">
        <v>0</v>
      </c>
      <c r="C12" s="26">
        <v>0</v>
      </c>
      <c r="D12" s="26">
        <v>0</v>
      </c>
      <c r="E12" s="26">
        <v>0</v>
      </c>
      <c r="F12" s="26">
        <v>0</v>
      </c>
      <c r="G12" s="26">
        <v>2438000</v>
      </c>
      <c r="H12" s="26">
        <f>SUM(B12:G12)</f>
        <v>2438000.0</v>
      </c>
    </row>
    <row r="13" spans="1:8">
      <c r="A13" s="24" t="s">
        <v>174</v>
      </c>
      <c r="B13" s="26">
        <f>SUM(B11:B12)</f>
        <v>30483000.0</v>
      </c>
      <c r="C13" s="26">
        <f>SUM(C11:C12)</f>
        <v>18173000.0</v>
      </c>
      <c r="D13" s="26">
        <f>SUM(D11:D12)</f>
        <v>5276000.0</v>
      </c>
      <c r="E13" s="26">
        <f>SUM(E11:E12)</f>
        <v>2931000.0</v>
      </c>
      <c r="F13" s="26">
        <f>SUM(F11:F12)</f>
        <v>1172000.0</v>
      </c>
      <c r="G13" s="26">
        <f>SUM(G11:G12)</f>
        <v>3024000.0</v>
      </c>
      <c r="H13" s="26">
        <f>SUM(H11:H12)</f>
        <v>61059000.0</v>
      </c>
    </row>
    <row r="15" spans="1:8" ht="26" customHeight="1">
      <c r="A15" s="4" t="s">
        <v>436</v>
      </c>
      <c r="B15" s="6" t="s">
        <v>221</v>
      </c>
      <c r="C15" s="6" t="s">
        <v>320</v>
      </c>
      <c r="D15" s="6" t="s">
        <v>224</v>
      </c>
      <c r="E15" s="6" t="s">
        <v>225</v>
      </c>
      <c r="F15" s="6" t="s">
        <v>226</v>
      </c>
      <c r="G15" s="6" t="s">
        <v>174</v>
      </c>
    </row>
    <row r="16" spans="1:8">
      <c r="A16" s="24" t="s">
        <v>183</v>
      </c>
    </row>
    <row r="17" spans="1:7">
      <c r="A17" s="25" t="s">
        <v>321</v>
      </c>
      <c r="B17" s="26">
        <v>1279000</v>
      </c>
      <c r="C17" s="26">
        <v>548000</v>
      </c>
      <c r="D17" s="26">
        <v>0</v>
      </c>
      <c r="E17" s="26">
        <v>0</v>
      </c>
      <c r="F17" s="26">
        <v>0</v>
      </c>
      <c r="G17" s="26">
        <f>SUM(B17:F17)</f>
        <v>1827000.0</v>
      </c>
    </row>
    <row r="18" spans="1:7">
      <c r="A18" s="25" t="s">
        <v>322</v>
      </c>
      <c r="B18" s="26">
        <v>15312000</v>
      </c>
      <c r="C18" s="26">
        <v>7656000</v>
      </c>
      <c r="D18" s="26">
        <v>2552000</v>
      </c>
      <c r="E18" s="26">
        <v>0</v>
      </c>
      <c r="F18" s="26">
        <v>0</v>
      </c>
      <c r="G18" s="26">
        <f>SUM(B18:F18)</f>
        <v>25520000.0</v>
      </c>
    </row>
    <row r="19" spans="1:7">
      <c r="A19" s="24" t="s">
        <v>174</v>
      </c>
      <c r="B19" s="26">
        <f>SUM(B17:B18)</f>
        <v>16591000.0</v>
      </c>
      <c r="C19" s="26">
        <f>SUM(C17:C18)</f>
        <v>8204000.0</v>
      </c>
      <c r="D19" s="26">
        <f>SUM(D17:D18)</f>
        <v>2552000.0</v>
      </c>
      <c r="E19" s="26">
        <f>SUM(E17:E18)</f>
        <v>0.0</v>
      </c>
      <c r="F19" s="26">
        <f>SUM(F17:F18)</f>
        <v>0.0</v>
      </c>
      <c r="G19" s="26">
        <f>SUM(G17:G18)</f>
        <v>27347000.0</v>
      </c>
    </row>
    <row r="21" spans="1:7">
      <c r="A21" s="24" t="s">
        <v>182</v>
      </c>
    </row>
    <row r="22" spans="1:7">
      <c r="A22" s="25" t="s">
        <v>321</v>
      </c>
      <c r="B22" s="26">
        <v>1367000</v>
      </c>
      <c r="C22" s="26">
        <v>586000</v>
      </c>
      <c r="D22" s="26">
        <v>0</v>
      </c>
      <c r="E22" s="26">
        <v>0</v>
      </c>
      <c r="F22" s="26">
        <v>0</v>
      </c>
      <c r="G22" s="26">
        <f>SUM(B22:F22)</f>
        <v>1953000.0</v>
      </c>
    </row>
    <row r="23" spans="1:7">
      <c r="A23" s="25" t="s">
        <v>322</v>
      </c>
      <c r="B23" s="26">
        <v>14733000</v>
      </c>
      <c r="C23" s="26">
        <v>7367000</v>
      </c>
      <c r="D23" s="26">
        <v>2455000</v>
      </c>
      <c r="E23" s="26">
        <v>0</v>
      </c>
      <c r="F23" s="26">
        <v>0</v>
      </c>
      <c r="G23" s="26">
        <f>SUM(B23:F23)</f>
        <v>24555000.0</v>
      </c>
    </row>
    <row r="24" spans="1:7">
      <c r="A24" s="24" t="s">
        <v>174</v>
      </c>
      <c r="B24" s="26">
        <f>SUM(B22:B23)</f>
        <v>16100000.0</v>
      </c>
      <c r="C24" s="26">
        <f>SUM(C22:C23)</f>
        <v>7953000.0</v>
      </c>
      <c r="D24" s="26">
        <f>SUM(D22:D23)</f>
        <v>2455000.0</v>
      </c>
      <c r="E24" s="26">
        <f>SUM(E22:E23)</f>
        <v>0.0</v>
      </c>
      <c r="F24" s="26">
        <f>SUM(F22:F23)</f>
        <v>0.0</v>
      </c>
      <c r="G24" s="26">
        <f>SUM(G22:G23)</f>
        <v>26508000.0</v>
      </c>
    </row>
  </sheetData>
  <pageMargins left="0.5" right="0.5" top="0.6" bottom="0.6"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12</vt:i4>
      </vt:variant>
    </vt:vector>
  </HeadingPairs>
  <TitlesOfParts>
    <vt:vector size="27" baseType="lpstr">
      <vt:lpstr>BS</vt:lpstr>
      <vt:lpstr>PL</vt:lpstr>
      <vt:lpstr>SOCIE</vt:lpstr>
      <vt:lpstr>CFS</vt:lpstr>
      <vt:lpstr>Policies</vt:lpstr>
      <vt:lpstr>Note 3-5</vt:lpstr>
      <vt:lpstr>Note 6-11</vt:lpstr>
      <vt:lpstr>Note 12-13</vt:lpstr>
      <vt:lpstr>Note 14-19</vt:lpstr>
      <vt:lpstr>Note 20-27</vt:lpstr>
      <vt:lpstr>RPT</vt:lpstr>
      <vt:lpstr>Note 29-34</vt:lpstr>
      <vt:lpstr>NS_TB_FT27</vt:lpstr>
      <vt:lpstr>FAR</vt:lpstr>
      <vt:lpstr>Ageing</vt:lpstr>
      <vt:lpstr>BS!Print_Area</vt:lpstr>
      <vt:lpstr>CFS!Print_Area</vt:lpstr>
      <vt:lpstr>'Note 12-13'!Print_Area</vt:lpstr>
      <vt:lpstr>'Note 14-19'!Print_Area</vt:lpstr>
      <vt:lpstr>'Note 20-27'!Print_Area</vt:lpstr>
      <vt:lpstr>'Note 29-34'!Print_Area</vt:lpstr>
      <vt:lpstr>'Note 3-5'!Print_Area</vt:lpstr>
      <vt:lpstr>'Note 6-11'!Print_Area</vt:lpstr>
      <vt:lpstr>PL!Print_Area</vt:lpstr>
      <vt:lpstr>Policies!Print_Area</vt:lpstr>
      <vt:lpstr>RPT!Print_Area</vt:lpstr>
      <vt:lpstr>SOCIE!Print_Area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2026-10-21T06:39:18Z</dcterms:created>
  <dcterms:modified xsi:type="dcterms:W3CDTF">2026-10-21T06:39:18Z</dcterms:modified>
</cp:coreProperties>
</file>